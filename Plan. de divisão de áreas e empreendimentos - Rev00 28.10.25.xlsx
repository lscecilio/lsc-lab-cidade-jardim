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ley\OneDrive\Documentos\PLANEJAR\Cidade Jardim\Master Plan\Projeto\"/>
    </mc:Choice>
  </mc:AlternateContent>
  <xr:revisionPtr revIDLastSave="0" documentId="13_ncr:1_{AAFD0205-8A60-4924-9FED-2C97D59918D0}" xr6:coauthVersionLast="47" xr6:coauthVersionMax="47" xr10:uidLastSave="{00000000-0000-0000-0000-000000000000}"/>
  <bookViews>
    <workbookView xWindow="-108" yWindow="-108" windowWidth="23256" windowHeight="12720" xr2:uid="{F5D52628-E024-4890-B89D-9314DADBFF9D}"/>
  </bookViews>
  <sheets>
    <sheet name="Empreendimentos" sheetId="1" r:id="rId1"/>
    <sheet name="Cromograma Fisico Financeiro" sheetId="3" r:id="rId2"/>
    <sheet name="GRAFICOS" sheetId="6" r:id="rId3"/>
    <sheet name="QUADRO DE ÁREAS e POPULAÇÃO" sheetId="7" r:id="rId4"/>
    <sheet name="POPULAÇÃO ATENDIDA" sheetId="8" r:id="rId5"/>
    <sheet name="Cronogramaa Fisico" sheetId="5" r:id="rId6"/>
    <sheet name="Referencias" sheetId="2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6" i="7" l="1"/>
  <c r="D136" i="7"/>
  <c r="B136" i="7"/>
  <c r="B137" i="7"/>
  <c r="D137" i="7"/>
  <c r="C137" i="7"/>
  <c r="D135" i="7"/>
  <c r="C135" i="7"/>
  <c r="E144" i="7"/>
  <c r="E145" i="7" s="1"/>
  <c r="E147" i="7" s="1"/>
  <c r="E143" i="7"/>
  <c r="E141" i="7"/>
  <c r="E139" i="7"/>
  <c r="B144" i="7"/>
  <c r="AE339" i="3"/>
  <c r="AE338" i="3"/>
  <c r="B141" i="7"/>
  <c r="B140" i="7"/>
  <c r="B132" i="7"/>
  <c r="B130" i="7"/>
  <c r="B129" i="7"/>
  <c r="B127" i="7"/>
  <c r="B125" i="7"/>
  <c r="A134" i="7"/>
  <c r="A126" i="7"/>
  <c r="A127" i="7"/>
  <c r="A128" i="7"/>
  <c r="A129" i="7"/>
  <c r="A130" i="7"/>
  <c r="A131" i="7"/>
  <c r="A132" i="7"/>
  <c r="A133" i="7"/>
  <c r="A125" i="7"/>
  <c r="F120" i="7"/>
  <c r="F119" i="7"/>
  <c r="E120" i="7"/>
  <c r="E119" i="7"/>
  <c r="C115" i="7"/>
  <c r="F118" i="7"/>
  <c r="F111" i="7"/>
  <c r="F109" i="7"/>
  <c r="F115" i="7"/>
  <c r="F113" i="7"/>
  <c r="F112" i="7"/>
  <c r="F110" i="7"/>
  <c r="E118" i="7"/>
  <c r="C114" i="7"/>
  <c r="E117" i="7"/>
  <c r="E116" i="7"/>
  <c r="E111" i="7"/>
  <c r="E109" i="7"/>
  <c r="E110" i="7"/>
  <c r="E112" i="7"/>
  <c r="E113" i="7"/>
  <c r="E114" i="7"/>
  <c r="E115" i="7"/>
  <c r="C117" i="7"/>
  <c r="C116" i="7"/>
  <c r="B115" i="7"/>
  <c r="B114" i="7"/>
  <c r="B113" i="7"/>
  <c r="B112" i="7"/>
  <c r="C111" i="7"/>
  <c r="B110" i="7"/>
  <c r="C109" i="7"/>
  <c r="F108" i="7"/>
  <c r="E108" i="7"/>
  <c r="B108" i="7"/>
  <c r="A117" i="7"/>
  <c r="A116" i="7"/>
  <c r="A115" i="7"/>
  <c r="A114" i="7"/>
  <c r="A113" i="7"/>
  <c r="A112" i="7"/>
  <c r="A111" i="7"/>
  <c r="A110" i="7"/>
  <c r="A109" i="7"/>
  <c r="A108" i="7"/>
  <c r="R8" i="1"/>
  <c r="Q8" i="1"/>
  <c r="B103" i="7"/>
  <c r="B102" i="7"/>
  <c r="B101" i="7"/>
  <c r="P96" i="7"/>
  <c r="E9" i="8"/>
  <c r="E8" i="8"/>
  <c r="D8" i="8"/>
  <c r="D10" i="8" s="1"/>
  <c r="C10" i="8"/>
  <c r="D9" i="8" s="1"/>
  <c r="I93" i="7"/>
  <c r="P93" i="7" s="1"/>
  <c r="F93" i="7"/>
  <c r="B93" i="7"/>
  <c r="C93" i="7" s="1"/>
  <c r="B90" i="7"/>
  <c r="B92" i="7" s="1"/>
  <c r="I79" i="7"/>
  <c r="P79" i="7" s="1"/>
  <c r="F79" i="7"/>
  <c r="J79" i="7" s="1"/>
  <c r="B79" i="7"/>
  <c r="B76" i="7"/>
  <c r="B78" i="7" s="1"/>
  <c r="F63" i="7"/>
  <c r="H63" i="7" s="1"/>
  <c r="J63" i="7" s="1"/>
  <c r="L63" i="7" s="1"/>
  <c r="B63" i="7"/>
  <c r="C60" i="7"/>
  <c r="B60" i="7"/>
  <c r="B62" i="7" s="1"/>
  <c r="C59" i="7"/>
  <c r="M53" i="7"/>
  <c r="N53" i="7" s="1"/>
  <c r="K53" i="7"/>
  <c r="I53" i="7"/>
  <c r="G53" i="7"/>
  <c r="B49" i="7"/>
  <c r="F47" i="7"/>
  <c r="H47" i="7" s="1"/>
  <c r="J47" i="7" s="1"/>
  <c r="L47" i="7" s="1"/>
  <c r="M47" i="7" s="1"/>
  <c r="H46" i="7"/>
  <c r="J46" i="7" s="1"/>
  <c r="L46" i="7" s="1"/>
  <c r="C46" i="7"/>
  <c r="B46" i="7"/>
  <c r="B48" i="7" s="1"/>
  <c r="G39" i="7"/>
  <c r="I39" i="7" s="1"/>
  <c r="K39" i="7" s="1"/>
  <c r="M39" i="7" s="1"/>
  <c r="N39" i="7" s="1"/>
  <c r="B35" i="7"/>
  <c r="C35" i="7" s="1"/>
  <c r="F34" i="7"/>
  <c r="H33" i="7"/>
  <c r="J33" i="7" s="1"/>
  <c r="L33" i="7" s="1"/>
  <c r="M33" i="7" s="1"/>
  <c r="H32" i="7"/>
  <c r="J32" i="7" s="1"/>
  <c r="L32" i="7" s="1"/>
  <c r="B32" i="7"/>
  <c r="B34" i="7" s="1"/>
  <c r="I25" i="7"/>
  <c r="K25" i="7" s="1"/>
  <c r="M25" i="7" s="1"/>
  <c r="N25" i="7" s="1"/>
  <c r="G25" i="7"/>
  <c r="B20" i="7"/>
  <c r="H19" i="7"/>
  <c r="J19" i="7" s="1"/>
  <c r="L19" i="7" s="1"/>
  <c r="M19" i="7" s="1"/>
  <c r="F19" i="7"/>
  <c r="F20" i="7" s="1"/>
  <c r="H18" i="7"/>
  <c r="J18" i="7" s="1"/>
  <c r="L18" i="7" s="1"/>
  <c r="B17" i="7"/>
  <c r="C17" i="7" s="1"/>
  <c r="G9" i="7"/>
  <c r="I9" i="7" s="1"/>
  <c r="K9" i="7" s="1"/>
  <c r="M9" i="7" s="1"/>
  <c r="N9" i="7" s="1"/>
  <c r="B7" i="7"/>
  <c r="F5" i="7"/>
  <c r="H5" i="7" s="1"/>
  <c r="J5" i="7" s="1"/>
  <c r="L5" i="7" s="1"/>
  <c r="C4" i="7"/>
  <c r="B4" i="7"/>
  <c r="B6" i="7" s="1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B67" i="6"/>
  <c r="B68" i="6" s="1"/>
  <c r="C68" i="6" s="1"/>
  <c r="D68" i="6" s="1"/>
  <c r="E68" i="6" s="1"/>
  <c r="F68" i="6" s="1"/>
  <c r="G68" i="6" s="1"/>
  <c r="H68" i="6" s="1"/>
  <c r="I68" i="6" s="1"/>
  <c r="J68" i="6" s="1"/>
  <c r="K68" i="6" s="1"/>
  <c r="L68" i="6" s="1"/>
  <c r="M68" i="6" s="1"/>
  <c r="N68" i="6" s="1"/>
  <c r="O68" i="6" s="1"/>
  <c r="P68" i="6" s="1"/>
  <c r="Q68" i="6" s="1"/>
  <c r="R68" i="6" s="1"/>
  <c r="S68" i="6" s="1"/>
  <c r="T68" i="6" s="1"/>
  <c r="U68" i="6" s="1"/>
  <c r="E40" i="6"/>
  <c r="D40" i="6"/>
  <c r="C40" i="6"/>
  <c r="E41" i="6"/>
  <c r="D41" i="6"/>
  <c r="C41" i="6"/>
  <c r="C42" i="6"/>
  <c r="B42" i="6"/>
  <c r="P3" i="6"/>
  <c r="Q3" i="6"/>
  <c r="R3" i="6"/>
  <c r="S3" i="6"/>
  <c r="T3" i="6"/>
  <c r="U3" i="6"/>
  <c r="P4" i="6"/>
  <c r="Q4" i="6"/>
  <c r="R4" i="6"/>
  <c r="S4" i="6"/>
  <c r="T4" i="6"/>
  <c r="U4" i="6"/>
  <c r="C3" i="6"/>
  <c r="D3" i="6"/>
  <c r="E3" i="6"/>
  <c r="F3" i="6"/>
  <c r="G3" i="6"/>
  <c r="H3" i="6"/>
  <c r="I3" i="6"/>
  <c r="J3" i="6"/>
  <c r="K3" i="6"/>
  <c r="L3" i="6"/>
  <c r="M3" i="6"/>
  <c r="N3" i="6"/>
  <c r="O3" i="6"/>
  <c r="C4" i="6"/>
  <c r="D4" i="6"/>
  <c r="E4" i="6"/>
  <c r="F4" i="6"/>
  <c r="G4" i="6"/>
  <c r="H4" i="6"/>
  <c r="I4" i="6"/>
  <c r="J4" i="6"/>
  <c r="K4" i="6"/>
  <c r="L4" i="6"/>
  <c r="M4" i="6"/>
  <c r="N4" i="6"/>
  <c r="O4" i="6"/>
  <c r="B4" i="6"/>
  <c r="B3" i="6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AA209" i="3"/>
  <c r="AB209" i="3"/>
  <c r="AC209" i="3"/>
  <c r="AD209" i="3"/>
  <c r="AE209" i="3"/>
  <c r="AF209" i="3"/>
  <c r="AG209" i="3"/>
  <c r="AH209" i="3"/>
  <c r="AI209" i="3"/>
  <c r="AJ209" i="3"/>
  <c r="AK209" i="3"/>
  <c r="AL209" i="3"/>
  <c r="AM209" i="3"/>
  <c r="AN209" i="3"/>
  <c r="AO209" i="3"/>
  <c r="AP209" i="3"/>
  <c r="AQ209" i="3"/>
  <c r="AR209" i="3"/>
  <c r="AS209" i="3"/>
  <c r="AT209" i="3"/>
  <c r="AU209" i="3"/>
  <c r="AV209" i="3"/>
  <c r="AW209" i="3"/>
  <c r="AX209" i="3"/>
  <c r="AY209" i="3"/>
  <c r="AZ209" i="3"/>
  <c r="BA209" i="3"/>
  <c r="BB209" i="3"/>
  <c r="BC209" i="3"/>
  <c r="BD209" i="3"/>
  <c r="BE209" i="3"/>
  <c r="BF209" i="3"/>
  <c r="BG209" i="3"/>
  <c r="BH209" i="3"/>
  <c r="BI209" i="3"/>
  <c r="N210" i="3"/>
  <c r="O210" i="3"/>
  <c r="P210" i="3" s="1"/>
  <c r="Q210" i="3" s="1"/>
  <c r="R210" i="3" s="1"/>
  <c r="S210" i="3" s="1"/>
  <c r="T210" i="3" s="1"/>
  <c r="U210" i="3" s="1"/>
  <c r="V210" i="3" s="1"/>
  <c r="W210" i="3" s="1"/>
  <c r="X210" i="3" s="1"/>
  <c r="Y210" i="3" s="1"/>
  <c r="Z210" i="3" s="1"/>
  <c r="AA210" i="3" s="1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AA211" i="3"/>
  <c r="AC211" i="3"/>
  <c r="AD211" i="3"/>
  <c r="AE211" i="3"/>
  <c r="AF211" i="3"/>
  <c r="AG211" i="3"/>
  <c r="AH211" i="3"/>
  <c r="AI211" i="3"/>
  <c r="AJ211" i="3"/>
  <c r="AK211" i="3"/>
  <c r="AL211" i="3"/>
  <c r="AM211" i="3"/>
  <c r="AN211" i="3"/>
  <c r="AO211" i="3"/>
  <c r="AP211" i="3"/>
  <c r="AQ211" i="3"/>
  <c r="AR211" i="3"/>
  <c r="AS211" i="3"/>
  <c r="AT211" i="3"/>
  <c r="AU211" i="3"/>
  <c r="AV211" i="3"/>
  <c r="AW211" i="3"/>
  <c r="AX211" i="3"/>
  <c r="AY211" i="3"/>
  <c r="AZ211" i="3"/>
  <c r="BA211" i="3"/>
  <c r="BB211" i="3"/>
  <c r="BC211" i="3"/>
  <c r="BD211" i="3"/>
  <c r="BE211" i="3"/>
  <c r="BF211" i="3"/>
  <c r="BG211" i="3"/>
  <c r="BI211" i="3"/>
  <c r="N212" i="3"/>
  <c r="O212" i="3"/>
  <c r="P212" i="3" s="1"/>
  <c r="Q212" i="3" s="1"/>
  <c r="R212" i="3" s="1"/>
  <c r="S212" i="3" s="1"/>
  <c r="T212" i="3" s="1"/>
  <c r="U212" i="3" s="1"/>
  <c r="V212" i="3" s="1"/>
  <c r="W212" i="3" s="1"/>
  <c r="X212" i="3" s="1"/>
  <c r="Y212" i="3" s="1"/>
  <c r="Z212" i="3" s="1"/>
  <c r="AA212" i="3" s="1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AA214" i="3"/>
  <c r="AB214" i="3"/>
  <c r="AC214" i="3"/>
  <c r="AD214" i="3"/>
  <c r="AE214" i="3"/>
  <c r="AF214" i="3"/>
  <c r="AG214" i="3"/>
  <c r="AH214" i="3"/>
  <c r="AI214" i="3"/>
  <c r="AJ214" i="3"/>
  <c r="AK214" i="3"/>
  <c r="AL214" i="3"/>
  <c r="AM214" i="3"/>
  <c r="AN214" i="3"/>
  <c r="AO214" i="3"/>
  <c r="AP214" i="3"/>
  <c r="AQ214" i="3"/>
  <c r="AR214" i="3"/>
  <c r="AS214" i="3"/>
  <c r="AT214" i="3"/>
  <c r="AU214" i="3"/>
  <c r="AV214" i="3"/>
  <c r="AW214" i="3"/>
  <c r="AX214" i="3"/>
  <c r="AY214" i="3"/>
  <c r="AZ214" i="3"/>
  <c r="BA214" i="3"/>
  <c r="BB214" i="3"/>
  <c r="BC214" i="3"/>
  <c r="BD214" i="3"/>
  <c r="BE214" i="3"/>
  <c r="BF214" i="3"/>
  <c r="BG214" i="3"/>
  <c r="BH214" i="3"/>
  <c r="BH216" i="3" s="1"/>
  <c r="BI214" i="3"/>
  <c r="N215" i="3"/>
  <c r="O215" i="3"/>
  <c r="P215" i="3" s="1"/>
  <c r="Q215" i="3" s="1"/>
  <c r="R215" i="3" s="1"/>
  <c r="S215" i="3" s="1"/>
  <c r="T215" i="3" s="1"/>
  <c r="U215" i="3" s="1"/>
  <c r="V215" i="3" s="1"/>
  <c r="W215" i="3" s="1"/>
  <c r="X215" i="3" s="1"/>
  <c r="Y215" i="3" s="1"/>
  <c r="Z215" i="3" s="1"/>
  <c r="AA215" i="3" s="1"/>
  <c r="AB215" i="3" s="1"/>
  <c r="AC215" i="3" s="1"/>
  <c r="AD215" i="3" s="1"/>
  <c r="AE215" i="3" s="1"/>
  <c r="AF215" i="3" s="1"/>
  <c r="AG215" i="3" s="1"/>
  <c r="AH215" i="3" s="1"/>
  <c r="AI215" i="3" s="1"/>
  <c r="AJ215" i="3" s="1"/>
  <c r="AK215" i="3" s="1"/>
  <c r="AL215" i="3" s="1"/>
  <c r="AM215" i="3" s="1"/>
  <c r="AN215" i="3" s="1"/>
  <c r="AO215" i="3" s="1"/>
  <c r="AP215" i="3" s="1"/>
  <c r="AQ215" i="3" s="1"/>
  <c r="AR215" i="3" s="1"/>
  <c r="AS215" i="3" s="1"/>
  <c r="AT215" i="3" s="1"/>
  <c r="AU215" i="3" s="1"/>
  <c r="AV215" i="3" s="1"/>
  <c r="AW215" i="3" s="1"/>
  <c r="AX215" i="3" s="1"/>
  <c r="AY215" i="3" s="1"/>
  <c r="N216" i="3"/>
  <c r="O216" i="3"/>
  <c r="P216" i="3"/>
  <c r="Q216" i="3"/>
  <c r="R216" i="3"/>
  <c r="S216" i="3"/>
  <c r="T216" i="3"/>
  <c r="U216" i="3"/>
  <c r="V216" i="3"/>
  <c r="W216" i="3"/>
  <c r="X216" i="3"/>
  <c r="Y216" i="3"/>
  <c r="Z216" i="3"/>
  <c r="AA216" i="3"/>
  <c r="AB216" i="3"/>
  <c r="AC216" i="3"/>
  <c r="AD216" i="3"/>
  <c r="AE216" i="3"/>
  <c r="AF216" i="3"/>
  <c r="AG216" i="3"/>
  <c r="AH216" i="3"/>
  <c r="AI216" i="3"/>
  <c r="AJ216" i="3"/>
  <c r="AK216" i="3"/>
  <c r="AL216" i="3"/>
  <c r="AM216" i="3"/>
  <c r="AN216" i="3"/>
  <c r="AO216" i="3"/>
  <c r="AP216" i="3"/>
  <c r="AQ216" i="3"/>
  <c r="AR216" i="3"/>
  <c r="AS216" i="3"/>
  <c r="AT216" i="3"/>
  <c r="AU216" i="3"/>
  <c r="AV216" i="3"/>
  <c r="AW216" i="3"/>
  <c r="AX216" i="3"/>
  <c r="AY216" i="3"/>
  <c r="BA216" i="3"/>
  <c r="BB216" i="3"/>
  <c r="BC216" i="3"/>
  <c r="BD216" i="3"/>
  <c r="BE216" i="3"/>
  <c r="BF216" i="3"/>
  <c r="BG216" i="3"/>
  <c r="BI216" i="3"/>
  <c r="N217" i="3"/>
  <c r="O217" i="3"/>
  <c r="P217" i="3" s="1"/>
  <c r="Q217" i="3" s="1"/>
  <c r="R217" i="3" s="1"/>
  <c r="S217" i="3" s="1"/>
  <c r="T217" i="3" s="1"/>
  <c r="U217" i="3" s="1"/>
  <c r="V217" i="3" s="1"/>
  <c r="W217" i="3" s="1"/>
  <c r="X217" i="3" s="1"/>
  <c r="Y217" i="3" s="1"/>
  <c r="Z217" i="3" s="1"/>
  <c r="AA217" i="3" s="1"/>
  <c r="AB217" i="3" s="1"/>
  <c r="AC217" i="3" s="1"/>
  <c r="AD217" i="3" s="1"/>
  <c r="AE217" i="3" s="1"/>
  <c r="AF217" i="3" s="1"/>
  <c r="AG217" i="3" s="1"/>
  <c r="AH217" i="3" s="1"/>
  <c r="AI217" i="3" s="1"/>
  <c r="AJ217" i="3" s="1"/>
  <c r="AK217" i="3" s="1"/>
  <c r="AL217" i="3" s="1"/>
  <c r="AM217" i="3" s="1"/>
  <c r="AN217" i="3" s="1"/>
  <c r="AO217" i="3" s="1"/>
  <c r="AP217" i="3" s="1"/>
  <c r="AQ217" i="3" s="1"/>
  <c r="AR217" i="3" s="1"/>
  <c r="AS217" i="3" s="1"/>
  <c r="AT217" i="3" s="1"/>
  <c r="AU217" i="3" s="1"/>
  <c r="AV217" i="3" s="1"/>
  <c r="AW217" i="3" s="1"/>
  <c r="AX217" i="3" s="1"/>
  <c r="AY217" i="3" s="1"/>
  <c r="S225" i="3"/>
  <c r="T225" i="3"/>
  <c r="U225" i="3"/>
  <c r="V225" i="3"/>
  <c r="W225" i="3"/>
  <c r="X225" i="3"/>
  <c r="Z225" i="3"/>
  <c r="AA225" i="3"/>
  <c r="AB225" i="3"/>
  <c r="AE225" i="3"/>
  <c r="AF225" i="3"/>
  <c r="AG225" i="3"/>
  <c r="AH225" i="3"/>
  <c r="AI225" i="3"/>
  <c r="AJ225" i="3"/>
  <c r="AK225" i="3"/>
  <c r="AL225" i="3"/>
  <c r="AM225" i="3"/>
  <c r="AN225" i="3"/>
  <c r="AO225" i="3"/>
  <c r="AP225" i="3"/>
  <c r="AQ225" i="3"/>
  <c r="AR225" i="3"/>
  <c r="AS225" i="3"/>
  <c r="AT225" i="3"/>
  <c r="AU225" i="3"/>
  <c r="AV225" i="3"/>
  <c r="AW225" i="3"/>
  <c r="AX225" i="3"/>
  <c r="AY225" i="3"/>
  <c r="AZ225" i="3"/>
  <c r="BA225" i="3"/>
  <c r="BB225" i="3"/>
  <c r="BC225" i="3"/>
  <c r="BD225" i="3"/>
  <c r="BE225" i="3"/>
  <c r="BF225" i="3"/>
  <c r="BG225" i="3"/>
  <c r="BH225" i="3"/>
  <c r="BI225" i="3"/>
  <c r="S227" i="3"/>
  <c r="T227" i="3"/>
  <c r="U227" i="3"/>
  <c r="V227" i="3"/>
  <c r="W227" i="3"/>
  <c r="X227" i="3"/>
  <c r="Z227" i="3"/>
  <c r="AA227" i="3"/>
  <c r="AB227" i="3"/>
  <c r="AE227" i="3"/>
  <c r="AF227" i="3"/>
  <c r="AG227" i="3"/>
  <c r="AH227" i="3"/>
  <c r="AI227" i="3"/>
  <c r="AJ227" i="3"/>
  <c r="AK227" i="3"/>
  <c r="AL227" i="3"/>
  <c r="AM227" i="3"/>
  <c r="AN227" i="3"/>
  <c r="AO227" i="3"/>
  <c r="AP227" i="3"/>
  <c r="AQ227" i="3"/>
  <c r="AR227" i="3"/>
  <c r="AT227" i="3"/>
  <c r="AU227" i="3"/>
  <c r="AV227" i="3"/>
  <c r="AW227" i="3"/>
  <c r="AX227" i="3"/>
  <c r="AY227" i="3"/>
  <c r="AZ227" i="3"/>
  <c r="BA227" i="3"/>
  <c r="BB227" i="3"/>
  <c r="BC227" i="3"/>
  <c r="BD227" i="3"/>
  <c r="BE227" i="3"/>
  <c r="BF227" i="3"/>
  <c r="BG227" i="3"/>
  <c r="BH227" i="3"/>
  <c r="BI227" i="3"/>
  <c r="S230" i="3"/>
  <c r="T230" i="3"/>
  <c r="U230" i="3"/>
  <c r="V230" i="3"/>
  <c r="W230" i="3"/>
  <c r="X230" i="3"/>
  <c r="Z230" i="3"/>
  <c r="AA230" i="3"/>
  <c r="AB230" i="3"/>
  <c r="AE230" i="3"/>
  <c r="AF230" i="3"/>
  <c r="AG230" i="3"/>
  <c r="AH230" i="3"/>
  <c r="AI230" i="3"/>
  <c r="AJ230" i="3"/>
  <c r="AK230" i="3"/>
  <c r="AL230" i="3"/>
  <c r="AM230" i="3"/>
  <c r="AN230" i="3"/>
  <c r="AO230" i="3"/>
  <c r="AP230" i="3"/>
  <c r="AQ230" i="3"/>
  <c r="AR230" i="3"/>
  <c r="AS230" i="3"/>
  <c r="AT230" i="3"/>
  <c r="AU230" i="3"/>
  <c r="AV230" i="3"/>
  <c r="AW230" i="3"/>
  <c r="AX230" i="3"/>
  <c r="AY230" i="3"/>
  <c r="AZ230" i="3"/>
  <c r="BA230" i="3"/>
  <c r="BB230" i="3"/>
  <c r="BC230" i="3"/>
  <c r="BD230" i="3"/>
  <c r="BE230" i="3"/>
  <c r="BF230" i="3"/>
  <c r="BG230" i="3"/>
  <c r="BH230" i="3"/>
  <c r="BI230" i="3"/>
  <c r="S232" i="3"/>
  <c r="T232" i="3"/>
  <c r="U232" i="3"/>
  <c r="V232" i="3"/>
  <c r="W232" i="3"/>
  <c r="X232" i="3"/>
  <c r="Z232" i="3"/>
  <c r="AA232" i="3"/>
  <c r="AB232" i="3"/>
  <c r="AE232" i="3"/>
  <c r="AF232" i="3"/>
  <c r="AG232" i="3"/>
  <c r="AH232" i="3"/>
  <c r="AI232" i="3"/>
  <c r="AJ232" i="3"/>
  <c r="AK232" i="3"/>
  <c r="AL232" i="3"/>
  <c r="AM232" i="3"/>
  <c r="AN232" i="3"/>
  <c r="AO232" i="3"/>
  <c r="AP232" i="3"/>
  <c r="AQ232" i="3"/>
  <c r="AR232" i="3"/>
  <c r="AS232" i="3"/>
  <c r="AT232" i="3"/>
  <c r="AU232" i="3"/>
  <c r="AV232" i="3"/>
  <c r="AW232" i="3"/>
  <c r="AX232" i="3"/>
  <c r="AY232" i="3"/>
  <c r="AZ232" i="3"/>
  <c r="BA232" i="3"/>
  <c r="BB232" i="3"/>
  <c r="BC232" i="3"/>
  <c r="BD232" i="3"/>
  <c r="BE232" i="3"/>
  <c r="BF232" i="3"/>
  <c r="BG232" i="3"/>
  <c r="BH232" i="3"/>
  <c r="BI232" i="3"/>
  <c r="L227" i="3"/>
  <c r="L232" i="3"/>
  <c r="L231" i="3"/>
  <c r="N300" i="3"/>
  <c r="O300" i="3"/>
  <c r="P300" i="3"/>
  <c r="Q300" i="3"/>
  <c r="R300" i="3"/>
  <c r="S300" i="3"/>
  <c r="T300" i="3"/>
  <c r="U300" i="3"/>
  <c r="V300" i="3"/>
  <c r="W300" i="3"/>
  <c r="X300" i="3"/>
  <c r="Y300" i="3"/>
  <c r="Z300" i="3"/>
  <c r="AA300" i="3"/>
  <c r="AB300" i="3"/>
  <c r="AC300" i="3"/>
  <c r="AD300" i="3"/>
  <c r="AE300" i="3"/>
  <c r="AF300" i="3"/>
  <c r="AG300" i="3"/>
  <c r="AH300" i="3"/>
  <c r="AI300" i="3"/>
  <c r="AJ300" i="3"/>
  <c r="AK300" i="3"/>
  <c r="AL300" i="3"/>
  <c r="AM300" i="3"/>
  <c r="AN300" i="3"/>
  <c r="AO300" i="3"/>
  <c r="AP300" i="3"/>
  <c r="AQ300" i="3"/>
  <c r="AR300" i="3"/>
  <c r="AS300" i="3"/>
  <c r="AT300" i="3"/>
  <c r="AU300" i="3"/>
  <c r="AV300" i="3"/>
  <c r="AW300" i="3"/>
  <c r="AX300" i="3"/>
  <c r="AY300" i="3"/>
  <c r="AZ300" i="3"/>
  <c r="BA300" i="3"/>
  <c r="BB300" i="3"/>
  <c r="BC300" i="3"/>
  <c r="BD300" i="3"/>
  <c r="BE300" i="3"/>
  <c r="BF300" i="3"/>
  <c r="BG300" i="3"/>
  <c r="BH300" i="3"/>
  <c r="BI300" i="3"/>
  <c r="N301" i="3"/>
  <c r="O301" i="3"/>
  <c r="P301" i="3" s="1"/>
  <c r="Q301" i="3" s="1"/>
  <c r="R301" i="3" s="1"/>
  <c r="S301" i="3" s="1"/>
  <c r="T301" i="3" s="1"/>
  <c r="U301" i="3" s="1"/>
  <c r="V301" i="3" s="1"/>
  <c r="W301" i="3" s="1"/>
  <c r="X301" i="3" s="1"/>
  <c r="Y301" i="3" s="1"/>
  <c r="Z301" i="3" s="1"/>
  <c r="AA301" i="3" s="1"/>
  <c r="AB301" i="3" s="1"/>
  <c r="AC301" i="3" s="1"/>
  <c r="AD301" i="3" s="1"/>
  <c r="AE301" i="3" s="1"/>
  <c r="AF301" i="3" s="1"/>
  <c r="AG301" i="3" s="1"/>
  <c r="AH301" i="3" s="1"/>
  <c r="AI301" i="3" s="1"/>
  <c r="AJ301" i="3" s="1"/>
  <c r="AK301" i="3" s="1"/>
  <c r="AL301" i="3" s="1"/>
  <c r="AM301" i="3" s="1"/>
  <c r="AN301" i="3" s="1"/>
  <c r="AO301" i="3" s="1"/>
  <c r="AP301" i="3" s="1"/>
  <c r="AQ301" i="3" s="1"/>
  <c r="AR301" i="3" s="1"/>
  <c r="AS301" i="3" s="1"/>
  <c r="AT301" i="3" s="1"/>
  <c r="AU301" i="3" s="1"/>
  <c r="AV301" i="3" s="1"/>
  <c r="AW301" i="3" s="1"/>
  <c r="AX301" i="3" s="1"/>
  <c r="AY301" i="3" s="1"/>
  <c r="AZ301" i="3" s="1"/>
  <c r="BA301" i="3" s="1"/>
  <c r="BB301" i="3" s="1"/>
  <c r="BC301" i="3" s="1"/>
  <c r="BD301" i="3" s="1"/>
  <c r="BE301" i="3" s="1"/>
  <c r="BF301" i="3" s="1"/>
  <c r="BG301" i="3" s="1"/>
  <c r="BH301" i="3" s="1"/>
  <c r="BI301" i="3" s="1"/>
  <c r="N302" i="3"/>
  <c r="O302" i="3"/>
  <c r="P302" i="3"/>
  <c r="Q302" i="3"/>
  <c r="R302" i="3"/>
  <c r="S302" i="3"/>
  <c r="T302" i="3"/>
  <c r="U302" i="3"/>
  <c r="V302" i="3"/>
  <c r="W302" i="3"/>
  <c r="X302" i="3"/>
  <c r="Y302" i="3"/>
  <c r="Z302" i="3"/>
  <c r="AA302" i="3"/>
  <c r="AB302" i="3"/>
  <c r="AC302" i="3"/>
  <c r="AD302" i="3"/>
  <c r="AE302" i="3"/>
  <c r="AF302" i="3"/>
  <c r="AG302" i="3"/>
  <c r="AH302" i="3"/>
  <c r="AI302" i="3"/>
  <c r="AJ302" i="3"/>
  <c r="AK302" i="3"/>
  <c r="AL302" i="3"/>
  <c r="AM302" i="3"/>
  <c r="AN302" i="3"/>
  <c r="AO302" i="3"/>
  <c r="AP302" i="3"/>
  <c r="AQ302" i="3"/>
  <c r="AR302" i="3"/>
  <c r="AS302" i="3"/>
  <c r="AT302" i="3"/>
  <c r="AU302" i="3"/>
  <c r="AV302" i="3"/>
  <c r="AW302" i="3"/>
  <c r="AX302" i="3"/>
  <c r="AY302" i="3"/>
  <c r="AZ302" i="3"/>
  <c r="BA302" i="3"/>
  <c r="BB302" i="3"/>
  <c r="BC302" i="3"/>
  <c r="BD302" i="3"/>
  <c r="BE302" i="3"/>
  <c r="BF302" i="3"/>
  <c r="BG302" i="3"/>
  <c r="BH302" i="3"/>
  <c r="BI302" i="3"/>
  <c r="N303" i="3"/>
  <c r="O303" i="3"/>
  <c r="P303" i="3" s="1"/>
  <c r="Q303" i="3" s="1"/>
  <c r="R303" i="3" s="1"/>
  <c r="S303" i="3" s="1"/>
  <c r="T303" i="3" s="1"/>
  <c r="U303" i="3" s="1"/>
  <c r="V303" i="3" s="1"/>
  <c r="W303" i="3" s="1"/>
  <c r="X303" i="3" s="1"/>
  <c r="Y303" i="3" s="1"/>
  <c r="Z303" i="3" s="1"/>
  <c r="AA303" i="3" s="1"/>
  <c r="AB303" i="3" s="1"/>
  <c r="AC303" i="3" s="1"/>
  <c r="AD303" i="3" s="1"/>
  <c r="AE303" i="3" s="1"/>
  <c r="AF303" i="3" s="1"/>
  <c r="AG303" i="3" s="1"/>
  <c r="AH303" i="3" s="1"/>
  <c r="AI303" i="3" s="1"/>
  <c r="AJ303" i="3" s="1"/>
  <c r="AK303" i="3" s="1"/>
  <c r="AL303" i="3" s="1"/>
  <c r="AM303" i="3" s="1"/>
  <c r="AN303" i="3" s="1"/>
  <c r="AO303" i="3" s="1"/>
  <c r="AP303" i="3" s="1"/>
  <c r="AQ303" i="3" s="1"/>
  <c r="AR303" i="3" s="1"/>
  <c r="AS303" i="3" s="1"/>
  <c r="AT303" i="3" s="1"/>
  <c r="AU303" i="3" s="1"/>
  <c r="AV303" i="3" s="1"/>
  <c r="AW303" i="3" s="1"/>
  <c r="AX303" i="3" s="1"/>
  <c r="AY303" i="3" s="1"/>
  <c r="AZ303" i="3" s="1"/>
  <c r="BA303" i="3" s="1"/>
  <c r="BB303" i="3" s="1"/>
  <c r="BC303" i="3" s="1"/>
  <c r="BD303" i="3" s="1"/>
  <c r="BE303" i="3" s="1"/>
  <c r="BF303" i="3" s="1"/>
  <c r="BG303" i="3" s="1"/>
  <c r="BH303" i="3" s="1"/>
  <c r="BI303" i="3" s="1"/>
  <c r="L302" i="3"/>
  <c r="M302" i="3"/>
  <c r="M301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Y135" i="3"/>
  <c r="AZ135" i="3"/>
  <c r="BA135" i="3"/>
  <c r="BB135" i="3"/>
  <c r="BC135" i="3"/>
  <c r="BD135" i="3"/>
  <c r="BE135" i="3"/>
  <c r="BF135" i="3"/>
  <c r="BG135" i="3"/>
  <c r="BH135" i="3"/>
  <c r="BI135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Y137" i="3"/>
  <c r="AZ137" i="3"/>
  <c r="BA137" i="3"/>
  <c r="BB137" i="3"/>
  <c r="BC137" i="3"/>
  <c r="BD137" i="3"/>
  <c r="BE137" i="3"/>
  <c r="BF137" i="3"/>
  <c r="BG137" i="3"/>
  <c r="BH137" i="3"/>
  <c r="BI137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AY140" i="3"/>
  <c r="AZ140" i="3"/>
  <c r="BA140" i="3"/>
  <c r="BB140" i="3"/>
  <c r="BC140" i="3"/>
  <c r="BD140" i="3"/>
  <c r="BE140" i="3"/>
  <c r="BF140" i="3"/>
  <c r="BG140" i="3"/>
  <c r="BH140" i="3"/>
  <c r="BI140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Y142" i="3"/>
  <c r="AZ142" i="3"/>
  <c r="BA142" i="3"/>
  <c r="BB142" i="3"/>
  <c r="BC142" i="3"/>
  <c r="BD142" i="3"/>
  <c r="BE142" i="3"/>
  <c r="BF142" i="3"/>
  <c r="BG142" i="3"/>
  <c r="BH142" i="3"/>
  <c r="BI142" i="3"/>
  <c r="AE118" i="3"/>
  <c r="AF118" i="3"/>
  <c r="AG118" i="3"/>
  <c r="AH118" i="3"/>
  <c r="AI118" i="3"/>
  <c r="AJ118" i="3"/>
  <c r="AK118" i="3"/>
  <c r="AK120" i="3" s="1"/>
  <c r="AL118" i="3"/>
  <c r="AM118" i="3"/>
  <c r="AN118" i="3"/>
  <c r="AO118" i="3"/>
  <c r="AP118" i="3"/>
  <c r="AQ118" i="3"/>
  <c r="AR118" i="3"/>
  <c r="AS118" i="3"/>
  <c r="AS120" i="3" s="1"/>
  <c r="AT118" i="3"/>
  <c r="AU118" i="3"/>
  <c r="AV118" i="3"/>
  <c r="AW118" i="3"/>
  <c r="AX118" i="3"/>
  <c r="AY118" i="3"/>
  <c r="AZ118" i="3"/>
  <c r="BA118" i="3"/>
  <c r="BA120" i="3" s="1"/>
  <c r="BB118" i="3"/>
  <c r="BC118" i="3"/>
  <c r="BD118" i="3"/>
  <c r="BE118" i="3"/>
  <c r="BF118" i="3"/>
  <c r="BG118" i="3"/>
  <c r="BH118" i="3"/>
  <c r="BI118" i="3"/>
  <c r="BI120" i="3" s="1"/>
  <c r="AE120" i="3"/>
  <c r="AG120" i="3"/>
  <c r="AH120" i="3"/>
  <c r="AI120" i="3"/>
  <c r="AJ120" i="3"/>
  <c r="AL120" i="3"/>
  <c r="AM120" i="3"/>
  <c r="AO120" i="3"/>
  <c r="AP120" i="3"/>
  <c r="AQ120" i="3"/>
  <c r="AR120" i="3"/>
  <c r="AT120" i="3"/>
  <c r="AU120" i="3"/>
  <c r="AW120" i="3"/>
  <c r="AX120" i="3"/>
  <c r="AY120" i="3"/>
  <c r="AZ120" i="3"/>
  <c r="BB120" i="3"/>
  <c r="BC120" i="3"/>
  <c r="BE120" i="3"/>
  <c r="BF120" i="3"/>
  <c r="BG120" i="3"/>
  <c r="BH120" i="3"/>
  <c r="AE123" i="3"/>
  <c r="AF123" i="3"/>
  <c r="AG123" i="3"/>
  <c r="AG125" i="3" s="1"/>
  <c r="AH123" i="3"/>
  <c r="AI123" i="3"/>
  <c r="AJ123" i="3"/>
  <c r="AK123" i="3"/>
  <c r="AL123" i="3"/>
  <c r="AM123" i="3"/>
  <c r="AN123" i="3"/>
  <c r="AO123" i="3"/>
  <c r="AO125" i="3" s="1"/>
  <c r="AP123" i="3"/>
  <c r="AQ123" i="3"/>
  <c r="AR123" i="3"/>
  <c r="AS123" i="3"/>
  <c r="AT123" i="3"/>
  <c r="AU123" i="3"/>
  <c r="AV123" i="3"/>
  <c r="AW123" i="3"/>
  <c r="AW125" i="3" s="1"/>
  <c r="AX123" i="3"/>
  <c r="AY123" i="3"/>
  <c r="AZ123" i="3"/>
  <c r="BA123" i="3"/>
  <c r="BB123" i="3"/>
  <c r="BC123" i="3"/>
  <c r="BD123" i="3"/>
  <c r="BE123" i="3"/>
  <c r="BE125" i="3" s="1"/>
  <c r="BF123" i="3"/>
  <c r="BG123" i="3"/>
  <c r="BH123" i="3"/>
  <c r="BI123" i="3"/>
  <c r="AE125" i="3"/>
  <c r="AF125" i="3"/>
  <c r="AH125" i="3"/>
  <c r="AI125" i="3"/>
  <c r="AK125" i="3"/>
  <c r="AL125" i="3"/>
  <c r="AM125" i="3"/>
  <c r="AN125" i="3"/>
  <c r="AP125" i="3"/>
  <c r="AQ125" i="3"/>
  <c r="AS125" i="3"/>
  <c r="AT125" i="3"/>
  <c r="AU125" i="3"/>
  <c r="AV125" i="3"/>
  <c r="AX125" i="3"/>
  <c r="AY125" i="3"/>
  <c r="BA125" i="3"/>
  <c r="BB125" i="3"/>
  <c r="BC125" i="3"/>
  <c r="BD125" i="3"/>
  <c r="BF125" i="3"/>
  <c r="BG125" i="3"/>
  <c r="BI125" i="3"/>
  <c r="N83" i="3"/>
  <c r="O83" i="3"/>
  <c r="P83" i="3"/>
  <c r="Q83" i="3"/>
  <c r="R83" i="3"/>
  <c r="S83" i="3"/>
  <c r="T83" i="3"/>
  <c r="T84" i="3" s="1"/>
  <c r="U84" i="3" s="1"/>
  <c r="V84" i="3" s="1"/>
  <c r="W84" i="3" s="1"/>
  <c r="X84" i="3" s="1"/>
  <c r="Y84" i="3" s="1"/>
  <c r="Z84" i="3" s="1"/>
  <c r="AA84" i="3" s="1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BC83" i="3"/>
  <c r="BD83" i="3"/>
  <c r="BE83" i="3"/>
  <c r="BF83" i="3"/>
  <c r="BG83" i="3"/>
  <c r="BH83" i="3"/>
  <c r="BI83" i="3"/>
  <c r="N84" i="3"/>
  <c r="O84" i="3" s="1"/>
  <c r="P84" i="3" s="1"/>
  <c r="Q84" i="3" s="1"/>
  <c r="R84" i="3" s="1"/>
  <c r="S84" i="3" s="1"/>
  <c r="N85" i="3"/>
  <c r="O85" i="3"/>
  <c r="P85" i="3"/>
  <c r="Q85" i="3"/>
  <c r="R85" i="3"/>
  <c r="S85" i="3"/>
  <c r="U85" i="3"/>
  <c r="V85" i="3"/>
  <c r="W85" i="3"/>
  <c r="X85" i="3"/>
  <c r="Y85" i="3"/>
  <c r="Z85" i="3"/>
  <c r="AA85" i="3"/>
  <c r="AC85" i="3"/>
  <c r="AD85" i="3"/>
  <c r="AE85" i="3"/>
  <c r="AF85" i="3"/>
  <c r="AG85" i="3"/>
  <c r="AH85" i="3"/>
  <c r="AI85" i="3"/>
  <c r="AK85" i="3"/>
  <c r="AL85" i="3"/>
  <c r="AM85" i="3"/>
  <c r="AN85" i="3"/>
  <c r="AO85" i="3"/>
  <c r="AP85" i="3"/>
  <c r="AQ85" i="3"/>
  <c r="AS85" i="3"/>
  <c r="AT85" i="3"/>
  <c r="AU85" i="3"/>
  <c r="AV85" i="3"/>
  <c r="AW85" i="3"/>
  <c r="AX85" i="3"/>
  <c r="AY85" i="3"/>
  <c r="BA85" i="3"/>
  <c r="BB85" i="3"/>
  <c r="BC85" i="3"/>
  <c r="BD85" i="3"/>
  <c r="BE85" i="3"/>
  <c r="BF85" i="3"/>
  <c r="BG85" i="3"/>
  <c r="BI85" i="3"/>
  <c r="N86" i="3"/>
  <c r="O86" i="3" s="1"/>
  <c r="P86" i="3" s="1"/>
  <c r="Q86" i="3" s="1"/>
  <c r="R86" i="3" s="1"/>
  <c r="S86" i="3" s="1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BC88" i="3"/>
  <c r="BD88" i="3"/>
  <c r="BE88" i="3"/>
  <c r="BF88" i="3"/>
  <c r="BG88" i="3"/>
  <c r="BH88" i="3"/>
  <c r="BH90" i="3" s="1"/>
  <c r="BI88" i="3"/>
  <c r="N89" i="3"/>
  <c r="O89" i="3" s="1"/>
  <c r="P89" i="3" s="1"/>
  <c r="Q89" i="3" s="1"/>
  <c r="R89" i="3" s="1"/>
  <c r="S89" i="3" s="1"/>
  <c r="N90" i="3"/>
  <c r="O90" i="3"/>
  <c r="P90" i="3"/>
  <c r="Q90" i="3"/>
  <c r="R90" i="3"/>
  <c r="S90" i="3"/>
  <c r="U90" i="3"/>
  <c r="V90" i="3"/>
  <c r="W90" i="3"/>
  <c r="X90" i="3"/>
  <c r="Y90" i="3"/>
  <c r="Z90" i="3"/>
  <c r="AA90" i="3"/>
  <c r="AC90" i="3"/>
  <c r="AD90" i="3"/>
  <c r="AE90" i="3"/>
  <c r="AF90" i="3"/>
  <c r="AG90" i="3"/>
  <c r="AH90" i="3"/>
  <c r="AI90" i="3"/>
  <c r="AK90" i="3"/>
  <c r="AL90" i="3"/>
  <c r="AM90" i="3"/>
  <c r="AN90" i="3"/>
  <c r="AO90" i="3"/>
  <c r="AP90" i="3"/>
  <c r="AQ90" i="3"/>
  <c r="AS90" i="3"/>
  <c r="AT90" i="3"/>
  <c r="AU90" i="3"/>
  <c r="AV90" i="3"/>
  <c r="AW90" i="3"/>
  <c r="AX90" i="3"/>
  <c r="AY90" i="3"/>
  <c r="BA90" i="3"/>
  <c r="BB90" i="3"/>
  <c r="BC90" i="3"/>
  <c r="BD90" i="3"/>
  <c r="BE90" i="3"/>
  <c r="BF90" i="3"/>
  <c r="BG90" i="3"/>
  <c r="BI90" i="3"/>
  <c r="N91" i="3"/>
  <c r="O91" i="3" s="1"/>
  <c r="P91" i="3" s="1"/>
  <c r="Q91" i="3" s="1"/>
  <c r="R91" i="3" s="1"/>
  <c r="S91" i="3" s="1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N43" i="3"/>
  <c r="O43" i="3" s="1"/>
  <c r="P43" i="3" s="1"/>
  <c r="Q43" i="3" s="1"/>
  <c r="R43" i="3" s="1"/>
  <c r="S43" i="3" s="1"/>
  <c r="T43" i="3" s="1"/>
  <c r="N44" i="3"/>
  <c r="O44" i="3"/>
  <c r="P44" i="3"/>
  <c r="Q44" i="3"/>
  <c r="R44" i="3"/>
  <c r="S44" i="3"/>
  <c r="T44" i="3"/>
  <c r="V44" i="3"/>
  <c r="W44" i="3"/>
  <c r="X44" i="3"/>
  <c r="Y44" i="3"/>
  <c r="Z44" i="3"/>
  <c r="AA44" i="3"/>
  <c r="AB44" i="3"/>
  <c r="AD44" i="3"/>
  <c r="AE44" i="3"/>
  <c r="AF44" i="3"/>
  <c r="AG44" i="3"/>
  <c r="AH44" i="3"/>
  <c r="AI44" i="3"/>
  <c r="AJ44" i="3"/>
  <c r="AL44" i="3"/>
  <c r="AM44" i="3"/>
  <c r="AN44" i="3"/>
  <c r="AO44" i="3"/>
  <c r="AP44" i="3"/>
  <c r="AQ44" i="3"/>
  <c r="AR44" i="3"/>
  <c r="AT44" i="3"/>
  <c r="AU44" i="3"/>
  <c r="AV44" i="3"/>
  <c r="AW44" i="3"/>
  <c r="AX44" i="3"/>
  <c r="AY44" i="3"/>
  <c r="AZ44" i="3"/>
  <c r="BB44" i="3"/>
  <c r="BC44" i="3"/>
  <c r="BD44" i="3"/>
  <c r="BE44" i="3"/>
  <c r="BF44" i="3"/>
  <c r="BG44" i="3"/>
  <c r="BH44" i="3"/>
  <c r="N45" i="3"/>
  <c r="O45" i="3" s="1"/>
  <c r="P45" i="3" s="1"/>
  <c r="Q45" i="3" s="1"/>
  <c r="R45" i="3" s="1"/>
  <c r="S45" i="3" s="1"/>
  <c r="T45" i="3" s="1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N48" i="3"/>
  <c r="O48" i="3" s="1"/>
  <c r="P48" i="3" s="1"/>
  <c r="Q48" i="3" s="1"/>
  <c r="R48" i="3" s="1"/>
  <c r="S48" i="3" s="1"/>
  <c r="T48" i="3" s="1"/>
  <c r="N49" i="3"/>
  <c r="O49" i="3"/>
  <c r="P49" i="3"/>
  <c r="Q49" i="3"/>
  <c r="R49" i="3"/>
  <c r="S49" i="3"/>
  <c r="T49" i="3"/>
  <c r="V49" i="3"/>
  <c r="W49" i="3"/>
  <c r="X49" i="3"/>
  <c r="Y49" i="3"/>
  <c r="Z49" i="3"/>
  <c r="AA49" i="3"/>
  <c r="AB49" i="3"/>
  <c r="AD49" i="3"/>
  <c r="AE49" i="3"/>
  <c r="AF49" i="3"/>
  <c r="AG49" i="3"/>
  <c r="AH49" i="3"/>
  <c r="AI49" i="3"/>
  <c r="AJ49" i="3"/>
  <c r="AL49" i="3"/>
  <c r="AM49" i="3"/>
  <c r="AN49" i="3"/>
  <c r="AO49" i="3"/>
  <c r="AP49" i="3"/>
  <c r="AQ49" i="3"/>
  <c r="AR49" i="3"/>
  <c r="AT49" i="3"/>
  <c r="AU49" i="3"/>
  <c r="AV49" i="3"/>
  <c r="AW49" i="3"/>
  <c r="AX49" i="3"/>
  <c r="AY49" i="3"/>
  <c r="AZ49" i="3"/>
  <c r="BB49" i="3"/>
  <c r="BC49" i="3"/>
  <c r="BD49" i="3"/>
  <c r="BE49" i="3"/>
  <c r="BF49" i="3"/>
  <c r="BG49" i="3"/>
  <c r="BH49" i="3"/>
  <c r="N50" i="3"/>
  <c r="O50" i="3" s="1"/>
  <c r="P50" i="3" s="1"/>
  <c r="Q50" i="3" s="1"/>
  <c r="R50" i="3" s="1"/>
  <c r="S50" i="3" s="1"/>
  <c r="T50" i="3" s="1"/>
  <c r="BB14" i="5"/>
  <c r="BB15" i="5"/>
  <c r="BB16" i="5"/>
  <c r="BB17" i="5"/>
  <c r="BB18" i="5"/>
  <c r="BB19" i="5"/>
  <c r="BB20" i="5"/>
  <c r="BB21" i="5"/>
  <c r="BB22" i="5"/>
  <c r="BB23" i="5"/>
  <c r="BB24" i="5"/>
  <c r="BB25" i="5"/>
  <c r="BB26" i="5"/>
  <c r="BB27" i="5"/>
  <c r="BB28" i="5"/>
  <c r="BB29" i="5"/>
  <c r="BB30" i="5"/>
  <c r="BB31" i="5"/>
  <c r="BB32" i="5"/>
  <c r="BB33" i="5"/>
  <c r="BB34" i="5"/>
  <c r="BB35" i="5"/>
  <c r="BB36" i="5"/>
  <c r="BB37" i="5"/>
  <c r="BB38" i="5"/>
  <c r="BB39" i="5"/>
  <c r="BB40" i="5"/>
  <c r="BB41" i="5"/>
  <c r="BB42" i="5"/>
  <c r="BB43" i="5"/>
  <c r="BB44" i="5"/>
  <c r="BB45" i="5"/>
  <c r="BB46" i="5"/>
  <c r="BB47" i="5"/>
  <c r="BB48" i="5"/>
  <c r="BB49" i="5"/>
  <c r="BB50" i="5"/>
  <c r="BB51" i="5"/>
  <c r="BB52" i="5"/>
  <c r="E338" i="3"/>
  <c r="E337" i="3"/>
  <c r="E340" i="3"/>
  <c r="E341" i="3" s="1"/>
  <c r="E339" i="3"/>
  <c r="H337" i="3"/>
  <c r="E10" i="8" l="1"/>
  <c r="F9" i="8" s="1"/>
  <c r="C9" i="7"/>
  <c r="B11" i="7"/>
  <c r="C11" i="7" s="1"/>
  <c r="C8" i="7"/>
  <c r="C10" i="7"/>
  <c r="C83" i="7"/>
  <c r="C79" i="7"/>
  <c r="C82" i="7"/>
  <c r="C81" i="7"/>
  <c r="C80" i="7"/>
  <c r="B84" i="7"/>
  <c r="C84" i="7" s="1"/>
  <c r="P5" i="7"/>
  <c r="M5" i="7"/>
  <c r="C49" i="7"/>
  <c r="B53" i="7"/>
  <c r="C53" i="7" s="1"/>
  <c r="C52" i="7"/>
  <c r="C51" i="7"/>
  <c r="C50" i="7"/>
  <c r="C7" i="7"/>
  <c r="B39" i="7"/>
  <c r="C39" i="7" s="1"/>
  <c r="C38" i="7"/>
  <c r="C37" i="7"/>
  <c r="C36" i="7"/>
  <c r="L48" i="7"/>
  <c r="M46" i="7"/>
  <c r="C65" i="7"/>
  <c r="C63" i="7"/>
  <c r="C64" i="7"/>
  <c r="B68" i="7"/>
  <c r="C68" i="7" s="1"/>
  <c r="C67" i="7"/>
  <c r="C66" i="7"/>
  <c r="B97" i="7"/>
  <c r="C97" i="7" s="1"/>
  <c r="C96" i="7"/>
  <c r="C95" i="7"/>
  <c r="C94" i="7"/>
  <c r="L34" i="7"/>
  <c r="M32" i="7"/>
  <c r="L20" i="7"/>
  <c r="M18" i="7"/>
  <c r="P63" i="7"/>
  <c r="M63" i="7"/>
  <c r="J93" i="7"/>
  <c r="F48" i="7"/>
  <c r="B19" i="7"/>
  <c r="C32" i="7"/>
  <c r="E42" i="6"/>
  <c r="D42" i="6"/>
  <c r="AZ215" i="3"/>
  <c r="BA215" i="3" s="1"/>
  <c r="BB215" i="3" s="1"/>
  <c r="BC215" i="3" s="1"/>
  <c r="BD215" i="3" s="1"/>
  <c r="BE215" i="3" s="1"/>
  <c r="BF215" i="3" s="1"/>
  <c r="BG215" i="3" s="1"/>
  <c r="BH215" i="3" s="1"/>
  <c r="BI215" i="3" s="1"/>
  <c r="AB210" i="3"/>
  <c r="AC210" i="3" s="1"/>
  <c r="AD210" i="3" s="1"/>
  <c r="AE210" i="3" s="1"/>
  <c r="AF210" i="3" s="1"/>
  <c r="AG210" i="3" s="1"/>
  <c r="AH210" i="3" s="1"/>
  <c r="AI210" i="3" s="1"/>
  <c r="AJ210" i="3" s="1"/>
  <c r="AK210" i="3" s="1"/>
  <c r="AL210" i="3" s="1"/>
  <c r="AM210" i="3" s="1"/>
  <c r="AN210" i="3" s="1"/>
  <c r="AO210" i="3" s="1"/>
  <c r="AP210" i="3" s="1"/>
  <c r="AQ210" i="3" s="1"/>
  <c r="AR210" i="3" s="1"/>
  <c r="AS210" i="3" s="1"/>
  <c r="AT210" i="3" s="1"/>
  <c r="AU210" i="3" s="1"/>
  <c r="AV210" i="3" s="1"/>
  <c r="AW210" i="3" s="1"/>
  <c r="AX210" i="3" s="1"/>
  <c r="AY210" i="3" s="1"/>
  <c r="AZ210" i="3" s="1"/>
  <c r="BA210" i="3" s="1"/>
  <c r="BB210" i="3" s="1"/>
  <c r="BC210" i="3" s="1"/>
  <c r="BD210" i="3" s="1"/>
  <c r="BE210" i="3" s="1"/>
  <c r="BF210" i="3" s="1"/>
  <c r="BG210" i="3" s="1"/>
  <c r="BH210" i="3" s="1"/>
  <c r="BI210" i="3" s="1"/>
  <c r="AB211" i="3"/>
  <c r="AB212" i="3" s="1"/>
  <c r="AC212" i="3" s="1"/>
  <c r="AD212" i="3" s="1"/>
  <c r="AE212" i="3" s="1"/>
  <c r="AF212" i="3" s="1"/>
  <c r="AG212" i="3" s="1"/>
  <c r="AH212" i="3" s="1"/>
  <c r="AI212" i="3" s="1"/>
  <c r="AJ212" i="3" s="1"/>
  <c r="AK212" i="3" s="1"/>
  <c r="AL212" i="3" s="1"/>
  <c r="AM212" i="3" s="1"/>
  <c r="AN212" i="3" s="1"/>
  <c r="AO212" i="3" s="1"/>
  <c r="AP212" i="3" s="1"/>
  <c r="AQ212" i="3" s="1"/>
  <c r="AR212" i="3" s="1"/>
  <c r="AS212" i="3" s="1"/>
  <c r="AT212" i="3" s="1"/>
  <c r="AU212" i="3" s="1"/>
  <c r="AV212" i="3" s="1"/>
  <c r="AW212" i="3" s="1"/>
  <c r="AX212" i="3" s="1"/>
  <c r="AY212" i="3" s="1"/>
  <c r="AZ212" i="3" s="1"/>
  <c r="BA212" i="3" s="1"/>
  <c r="BB212" i="3" s="1"/>
  <c r="BC212" i="3" s="1"/>
  <c r="BD212" i="3" s="1"/>
  <c r="BE212" i="3" s="1"/>
  <c r="BF212" i="3" s="1"/>
  <c r="BG212" i="3" s="1"/>
  <c r="AZ216" i="3"/>
  <c r="AZ217" i="3" s="1"/>
  <c r="BA217" i="3" s="1"/>
  <c r="BB217" i="3" s="1"/>
  <c r="BC217" i="3" s="1"/>
  <c r="BD217" i="3" s="1"/>
  <c r="BE217" i="3" s="1"/>
  <c r="BF217" i="3" s="1"/>
  <c r="BG217" i="3" s="1"/>
  <c r="BH217" i="3" s="1"/>
  <c r="BI217" i="3" s="1"/>
  <c r="BH211" i="3"/>
  <c r="AS227" i="3"/>
  <c r="BH125" i="3"/>
  <c r="AZ125" i="3"/>
  <c r="AR125" i="3"/>
  <c r="AJ125" i="3"/>
  <c r="BD120" i="3"/>
  <c r="AV120" i="3"/>
  <c r="AN120" i="3"/>
  <c r="AF120" i="3"/>
  <c r="AB84" i="3"/>
  <c r="AC84" i="3" s="1"/>
  <c r="AD84" i="3" s="1"/>
  <c r="AE84" i="3" s="1"/>
  <c r="AF84" i="3" s="1"/>
  <c r="AG84" i="3" s="1"/>
  <c r="AH84" i="3" s="1"/>
  <c r="AI84" i="3" s="1"/>
  <c r="AJ84" i="3" s="1"/>
  <c r="AK84" i="3" s="1"/>
  <c r="AL84" i="3" s="1"/>
  <c r="AM84" i="3" s="1"/>
  <c r="AN84" i="3" s="1"/>
  <c r="AO84" i="3" s="1"/>
  <c r="AP84" i="3" s="1"/>
  <c r="AQ84" i="3" s="1"/>
  <c r="AR84" i="3" s="1"/>
  <c r="AS84" i="3" s="1"/>
  <c r="AT84" i="3" s="1"/>
  <c r="AU84" i="3" s="1"/>
  <c r="AV84" i="3" s="1"/>
  <c r="AW84" i="3" s="1"/>
  <c r="AX84" i="3" s="1"/>
  <c r="AY84" i="3" s="1"/>
  <c r="AZ84" i="3" s="1"/>
  <c r="BA84" i="3" s="1"/>
  <c r="BB84" i="3" s="1"/>
  <c r="BC84" i="3" s="1"/>
  <c r="BD84" i="3" s="1"/>
  <c r="BE84" i="3" s="1"/>
  <c r="BF84" i="3" s="1"/>
  <c r="BG84" i="3" s="1"/>
  <c r="BH84" i="3" s="1"/>
  <c r="BI84" i="3" s="1"/>
  <c r="AB89" i="3"/>
  <c r="AC89" i="3" s="1"/>
  <c r="AD89" i="3" s="1"/>
  <c r="AE89" i="3" s="1"/>
  <c r="AF89" i="3" s="1"/>
  <c r="AG89" i="3" s="1"/>
  <c r="AH89" i="3" s="1"/>
  <c r="AI89" i="3" s="1"/>
  <c r="AJ89" i="3" s="1"/>
  <c r="AK89" i="3" s="1"/>
  <c r="AL89" i="3" s="1"/>
  <c r="AM89" i="3" s="1"/>
  <c r="AN89" i="3" s="1"/>
  <c r="AO89" i="3" s="1"/>
  <c r="AP89" i="3" s="1"/>
  <c r="AQ89" i="3" s="1"/>
  <c r="AR89" i="3" s="1"/>
  <c r="AS89" i="3" s="1"/>
  <c r="AT89" i="3" s="1"/>
  <c r="AU89" i="3" s="1"/>
  <c r="AV89" i="3" s="1"/>
  <c r="AW89" i="3" s="1"/>
  <c r="AX89" i="3" s="1"/>
  <c r="AY89" i="3" s="1"/>
  <c r="AZ89" i="3" s="1"/>
  <c r="BA89" i="3" s="1"/>
  <c r="BB89" i="3" s="1"/>
  <c r="BC89" i="3" s="1"/>
  <c r="BD89" i="3" s="1"/>
  <c r="BE89" i="3" s="1"/>
  <c r="BF89" i="3" s="1"/>
  <c r="BG89" i="3" s="1"/>
  <c r="BH89" i="3" s="1"/>
  <c r="BI89" i="3" s="1"/>
  <c r="T89" i="3"/>
  <c r="U89" i="3" s="1"/>
  <c r="V89" i="3" s="1"/>
  <c r="W89" i="3" s="1"/>
  <c r="X89" i="3" s="1"/>
  <c r="Y89" i="3" s="1"/>
  <c r="Z89" i="3" s="1"/>
  <c r="AA89" i="3" s="1"/>
  <c r="AZ90" i="3"/>
  <c r="AR90" i="3"/>
  <c r="AJ90" i="3"/>
  <c r="AB90" i="3"/>
  <c r="T90" i="3"/>
  <c r="T91" i="3" s="1"/>
  <c r="U91" i="3" s="1"/>
  <c r="V91" i="3" s="1"/>
  <c r="W91" i="3" s="1"/>
  <c r="X91" i="3" s="1"/>
  <c r="Y91" i="3" s="1"/>
  <c r="Z91" i="3" s="1"/>
  <c r="AA91" i="3" s="1"/>
  <c r="BH85" i="3"/>
  <c r="AZ85" i="3"/>
  <c r="AR85" i="3"/>
  <c r="AJ85" i="3"/>
  <c r="AB85" i="3"/>
  <c r="T85" i="3"/>
  <c r="T86" i="3" s="1"/>
  <c r="U86" i="3" s="1"/>
  <c r="V86" i="3" s="1"/>
  <c r="W86" i="3" s="1"/>
  <c r="X86" i="3" s="1"/>
  <c r="Y86" i="3" s="1"/>
  <c r="Z86" i="3" s="1"/>
  <c r="AA86" i="3" s="1"/>
  <c r="AK43" i="3"/>
  <c r="AL43" i="3" s="1"/>
  <c r="AM43" i="3" s="1"/>
  <c r="AN43" i="3" s="1"/>
  <c r="AO43" i="3" s="1"/>
  <c r="AP43" i="3" s="1"/>
  <c r="AQ43" i="3" s="1"/>
  <c r="AR43" i="3" s="1"/>
  <c r="AS43" i="3" s="1"/>
  <c r="AT43" i="3" s="1"/>
  <c r="AU43" i="3" s="1"/>
  <c r="AV43" i="3" s="1"/>
  <c r="AW43" i="3" s="1"/>
  <c r="AX43" i="3" s="1"/>
  <c r="AY43" i="3" s="1"/>
  <c r="AZ43" i="3" s="1"/>
  <c r="BA43" i="3" s="1"/>
  <c r="BB43" i="3" s="1"/>
  <c r="BC43" i="3" s="1"/>
  <c r="BD43" i="3" s="1"/>
  <c r="BE43" i="3" s="1"/>
  <c r="BF43" i="3" s="1"/>
  <c r="BG43" i="3" s="1"/>
  <c r="BH43" i="3" s="1"/>
  <c r="BI43" i="3" s="1"/>
  <c r="U43" i="3"/>
  <c r="V43" i="3" s="1"/>
  <c r="W43" i="3" s="1"/>
  <c r="X43" i="3" s="1"/>
  <c r="Y43" i="3" s="1"/>
  <c r="Z43" i="3" s="1"/>
  <c r="AA43" i="3" s="1"/>
  <c r="AB43" i="3" s="1"/>
  <c r="AC43" i="3"/>
  <c r="AD43" i="3" s="1"/>
  <c r="AE43" i="3" s="1"/>
  <c r="AF43" i="3" s="1"/>
  <c r="AG43" i="3" s="1"/>
  <c r="AH43" i="3" s="1"/>
  <c r="AI43" i="3" s="1"/>
  <c r="AJ43" i="3" s="1"/>
  <c r="AC48" i="3"/>
  <c r="AD48" i="3" s="1"/>
  <c r="AE48" i="3" s="1"/>
  <c r="AF48" i="3" s="1"/>
  <c r="AG48" i="3" s="1"/>
  <c r="AH48" i="3" s="1"/>
  <c r="AI48" i="3" s="1"/>
  <c r="AJ48" i="3" s="1"/>
  <c r="AK48" i="3" s="1"/>
  <c r="AL48" i="3" s="1"/>
  <c r="AM48" i="3" s="1"/>
  <c r="AN48" i="3" s="1"/>
  <c r="AO48" i="3" s="1"/>
  <c r="AP48" i="3" s="1"/>
  <c r="AQ48" i="3" s="1"/>
  <c r="AR48" i="3" s="1"/>
  <c r="AS48" i="3" s="1"/>
  <c r="AT48" i="3" s="1"/>
  <c r="AU48" i="3" s="1"/>
  <c r="AV48" i="3" s="1"/>
  <c r="AW48" i="3" s="1"/>
  <c r="AX48" i="3" s="1"/>
  <c r="AY48" i="3" s="1"/>
  <c r="AZ48" i="3" s="1"/>
  <c r="BA48" i="3" s="1"/>
  <c r="BB48" i="3" s="1"/>
  <c r="BC48" i="3" s="1"/>
  <c r="BD48" i="3" s="1"/>
  <c r="BE48" i="3" s="1"/>
  <c r="BF48" i="3" s="1"/>
  <c r="BG48" i="3" s="1"/>
  <c r="BH48" i="3" s="1"/>
  <c r="BI48" i="3" s="1"/>
  <c r="U48" i="3"/>
  <c r="V48" i="3" s="1"/>
  <c r="W48" i="3" s="1"/>
  <c r="X48" i="3" s="1"/>
  <c r="Y48" i="3" s="1"/>
  <c r="Z48" i="3" s="1"/>
  <c r="AA48" i="3" s="1"/>
  <c r="AB48" i="3" s="1"/>
  <c r="BI49" i="3"/>
  <c r="BA49" i="3"/>
  <c r="AS49" i="3"/>
  <c r="AK49" i="3"/>
  <c r="AC49" i="3"/>
  <c r="AC50" i="3" s="1"/>
  <c r="AD50" i="3" s="1"/>
  <c r="AE50" i="3" s="1"/>
  <c r="AF50" i="3" s="1"/>
  <c r="AG50" i="3" s="1"/>
  <c r="AH50" i="3" s="1"/>
  <c r="AI50" i="3" s="1"/>
  <c r="AJ50" i="3" s="1"/>
  <c r="U49" i="3"/>
  <c r="U50" i="3" s="1"/>
  <c r="V50" i="3" s="1"/>
  <c r="W50" i="3" s="1"/>
  <c r="X50" i="3" s="1"/>
  <c r="Y50" i="3" s="1"/>
  <c r="Z50" i="3" s="1"/>
  <c r="AA50" i="3" s="1"/>
  <c r="AB50" i="3" s="1"/>
  <c r="BI44" i="3"/>
  <c r="BA44" i="3"/>
  <c r="AS44" i="3"/>
  <c r="AK44" i="3"/>
  <c r="AC44" i="3"/>
  <c r="U44" i="3"/>
  <c r="U45" i="3" s="1"/>
  <c r="V45" i="3" s="1"/>
  <c r="W45" i="3" s="1"/>
  <c r="X45" i="3" s="1"/>
  <c r="Y45" i="3" s="1"/>
  <c r="Z45" i="3" s="1"/>
  <c r="AA45" i="3" s="1"/>
  <c r="AB45" i="3" s="1"/>
  <c r="F8" i="8" l="1"/>
  <c r="F10" i="8" s="1"/>
  <c r="M20" i="7"/>
  <c r="P20" i="7"/>
  <c r="P34" i="7"/>
  <c r="M34" i="7"/>
  <c r="P48" i="7"/>
  <c r="M48" i="7"/>
  <c r="C21" i="7"/>
  <c r="C25" i="7"/>
  <c r="C24" i="7"/>
  <c r="B26" i="7"/>
  <c r="C26" i="7" s="1"/>
  <c r="C23" i="7"/>
  <c r="C22" i="7"/>
  <c r="C20" i="7"/>
  <c r="BH212" i="3"/>
  <c r="BI212" i="3" s="1"/>
  <c r="AJ91" i="3"/>
  <c r="AK91" i="3" s="1"/>
  <c r="AL91" i="3" s="1"/>
  <c r="AM91" i="3" s="1"/>
  <c r="AN91" i="3" s="1"/>
  <c r="AO91" i="3" s="1"/>
  <c r="AP91" i="3" s="1"/>
  <c r="AQ91" i="3" s="1"/>
  <c r="AR91" i="3" s="1"/>
  <c r="AS91" i="3" s="1"/>
  <c r="AT91" i="3" s="1"/>
  <c r="AU91" i="3" s="1"/>
  <c r="AV91" i="3" s="1"/>
  <c r="AW91" i="3" s="1"/>
  <c r="AX91" i="3" s="1"/>
  <c r="AY91" i="3" s="1"/>
  <c r="AZ91" i="3" s="1"/>
  <c r="BA91" i="3" s="1"/>
  <c r="BB91" i="3" s="1"/>
  <c r="BC91" i="3" s="1"/>
  <c r="BD91" i="3" s="1"/>
  <c r="BE91" i="3" s="1"/>
  <c r="BF91" i="3" s="1"/>
  <c r="BG91" i="3" s="1"/>
  <c r="BH91" i="3" s="1"/>
  <c r="BI91" i="3" s="1"/>
  <c r="AB91" i="3"/>
  <c r="AC91" i="3" s="1"/>
  <c r="AD91" i="3" s="1"/>
  <c r="AE91" i="3" s="1"/>
  <c r="AF91" i="3" s="1"/>
  <c r="AG91" i="3" s="1"/>
  <c r="AH91" i="3" s="1"/>
  <c r="AI91" i="3" s="1"/>
  <c r="AB86" i="3"/>
  <c r="AC86" i="3" s="1"/>
  <c r="AD86" i="3" s="1"/>
  <c r="AE86" i="3" s="1"/>
  <c r="AF86" i="3" s="1"/>
  <c r="AG86" i="3" s="1"/>
  <c r="AH86" i="3" s="1"/>
  <c r="AI86" i="3" s="1"/>
  <c r="AJ86" i="3"/>
  <c r="AK86" i="3" s="1"/>
  <c r="AL86" i="3" s="1"/>
  <c r="AM86" i="3" s="1"/>
  <c r="AN86" i="3" s="1"/>
  <c r="AO86" i="3" s="1"/>
  <c r="AP86" i="3" s="1"/>
  <c r="AQ86" i="3" s="1"/>
  <c r="AR86" i="3" s="1"/>
  <c r="AS86" i="3" s="1"/>
  <c r="AT86" i="3" s="1"/>
  <c r="AU86" i="3" s="1"/>
  <c r="AV86" i="3" s="1"/>
  <c r="AW86" i="3" s="1"/>
  <c r="AX86" i="3" s="1"/>
  <c r="AY86" i="3" s="1"/>
  <c r="AZ86" i="3" s="1"/>
  <c r="BA86" i="3" s="1"/>
  <c r="BB86" i="3" s="1"/>
  <c r="BC86" i="3" s="1"/>
  <c r="BD86" i="3" s="1"/>
  <c r="BE86" i="3" s="1"/>
  <c r="BF86" i="3" s="1"/>
  <c r="BG86" i="3" s="1"/>
  <c r="BH86" i="3" s="1"/>
  <c r="BI86" i="3" s="1"/>
  <c r="AC45" i="3"/>
  <c r="AD45" i="3" s="1"/>
  <c r="AE45" i="3" s="1"/>
  <c r="AF45" i="3" s="1"/>
  <c r="AG45" i="3" s="1"/>
  <c r="AH45" i="3" s="1"/>
  <c r="AI45" i="3" s="1"/>
  <c r="AJ45" i="3" s="1"/>
  <c r="AK45" i="3" s="1"/>
  <c r="AL45" i="3" s="1"/>
  <c r="AM45" i="3" s="1"/>
  <c r="AN45" i="3" s="1"/>
  <c r="AO45" i="3" s="1"/>
  <c r="AP45" i="3" s="1"/>
  <c r="AQ45" i="3" s="1"/>
  <c r="AR45" i="3" s="1"/>
  <c r="AS45" i="3" s="1"/>
  <c r="AT45" i="3" s="1"/>
  <c r="AU45" i="3" s="1"/>
  <c r="AV45" i="3" s="1"/>
  <c r="AW45" i="3" s="1"/>
  <c r="AX45" i="3" s="1"/>
  <c r="AY45" i="3" s="1"/>
  <c r="AZ45" i="3" s="1"/>
  <c r="BA45" i="3" s="1"/>
  <c r="BB45" i="3" s="1"/>
  <c r="BC45" i="3" s="1"/>
  <c r="BD45" i="3" s="1"/>
  <c r="BE45" i="3" s="1"/>
  <c r="BF45" i="3" s="1"/>
  <c r="BG45" i="3" s="1"/>
  <c r="BH45" i="3" s="1"/>
  <c r="BI45" i="3" s="1"/>
  <c r="AK50" i="3"/>
  <c r="AL50" i="3" s="1"/>
  <c r="AM50" i="3" s="1"/>
  <c r="AN50" i="3" s="1"/>
  <c r="AO50" i="3" s="1"/>
  <c r="AP50" i="3" s="1"/>
  <c r="AQ50" i="3" s="1"/>
  <c r="AR50" i="3" s="1"/>
  <c r="AS50" i="3" s="1"/>
  <c r="AT50" i="3" s="1"/>
  <c r="AU50" i="3" s="1"/>
  <c r="AV50" i="3" s="1"/>
  <c r="AW50" i="3" s="1"/>
  <c r="AX50" i="3" s="1"/>
  <c r="AY50" i="3" s="1"/>
  <c r="AZ50" i="3" s="1"/>
  <c r="BA50" i="3" s="1"/>
  <c r="BB50" i="3" s="1"/>
  <c r="BC50" i="3" s="1"/>
  <c r="BD50" i="3" s="1"/>
  <c r="BE50" i="3" s="1"/>
  <c r="BF50" i="3" s="1"/>
  <c r="BG50" i="3" s="1"/>
  <c r="BH50" i="3" s="1"/>
  <c r="BI50" i="3" s="1"/>
  <c r="H328" i="3" l="1"/>
  <c r="J323" i="3"/>
  <c r="N192" i="3"/>
  <c r="O192" i="3"/>
  <c r="P192" i="3"/>
  <c r="P198" i="3" s="1"/>
  <c r="Q192" i="3"/>
  <c r="Q196" i="3" s="1"/>
  <c r="R192" i="3"/>
  <c r="R196" i="3" s="1"/>
  <c r="S192" i="3"/>
  <c r="T192" i="3"/>
  <c r="U192" i="3"/>
  <c r="V192" i="3"/>
  <c r="W192" i="3"/>
  <c r="X192" i="3"/>
  <c r="X194" i="3" s="1"/>
  <c r="Y192" i="3"/>
  <c r="Y194" i="3" s="1"/>
  <c r="Z192" i="3"/>
  <c r="Z194" i="3" s="1"/>
  <c r="AA192" i="3"/>
  <c r="AB192" i="3"/>
  <c r="AB200" i="3" s="1"/>
  <c r="AC192" i="3"/>
  <c r="AD192" i="3"/>
  <c r="AE192" i="3"/>
  <c r="AF192" i="3"/>
  <c r="AF196" i="3" s="1"/>
  <c r="AG192" i="3"/>
  <c r="AG194" i="3" s="1"/>
  <c r="AH192" i="3"/>
  <c r="AH194" i="3" s="1"/>
  <c r="AI192" i="3"/>
  <c r="AJ192" i="3"/>
  <c r="AJ200" i="3" s="1"/>
  <c r="AK192" i="3"/>
  <c r="AL192" i="3"/>
  <c r="AM192" i="3"/>
  <c r="AN192" i="3"/>
  <c r="AN196" i="3" s="1"/>
  <c r="AO192" i="3"/>
  <c r="AO196" i="3" s="1"/>
  <c r="AP192" i="3"/>
  <c r="AP196" i="3" s="1"/>
  <c r="AQ192" i="3"/>
  <c r="AR192" i="3"/>
  <c r="AR200" i="3" s="1"/>
  <c r="AS192" i="3"/>
  <c r="AT192" i="3"/>
  <c r="AU192" i="3"/>
  <c r="AV192" i="3"/>
  <c r="AV194" i="3" s="1"/>
  <c r="AW192" i="3"/>
  <c r="AW196" i="3" s="1"/>
  <c r="AX192" i="3"/>
  <c r="AX196" i="3" s="1"/>
  <c r="AY192" i="3"/>
  <c r="AZ192" i="3"/>
  <c r="AZ200" i="3" s="1"/>
  <c r="BA192" i="3"/>
  <c r="BB192" i="3"/>
  <c r="BC192" i="3"/>
  <c r="BD192" i="3"/>
  <c r="BD194" i="3" s="1"/>
  <c r="BE192" i="3"/>
  <c r="BE194" i="3" s="1"/>
  <c r="BF192" i="3"/>
  <c r="BF194" i="3" s="1"/>
  <c r="BG192" i="3"/>
  <c r="BH192" i="3"/>
  <c r="BH198" i="3" s="1"/>
  <c r="BI192" i="3"/>
  <c r="M192" i="3"/>
  <c r="BJ189" i="3"/>
  <c r="BJ190" i="3"/>
  <c r="BJ191" i="3"/>
  <c r="BJ193" i="3"/>
  <c r="BJ195" i="3"/>
  <c r="BJ197" i="3"/>
  <c r="BJ199" i="3"/>
  <c r="BJ201" i="3"/>
  <c r="BJ203" i="3"/>
  <c r="BJ205" i="3"/>
  <c r="N194" i="3"/>
  <c r="O194" i="3"/>
  <c r="S194" i="3"/>
  <c r="V194" i="3"/>
  <c r="W194" i="3"/>
  <c r="AA194" i="3"/>
  <c r="AD194" i="3"/>
  <c r="AE194" i="3"/>
  <c r="AF194" i="3"/>
  <c r="AI194" i="3"/>
  <c r="AL194" i="3"/>
  <c r="AM194" i="3"/>
  <c r="AN194" i="3"/>
  <c r="AO194" i="3"/>
  <c r="AP194" i="3"/>
  <c r="AQ194" i="3"/>
  <c r="AT194" i="3"/>
  <c r="AU194" i="3"/>
  <c r="AY194" i="3"/>
  <c r="BB194" i="3"/>
  <c r="BC194" i="3"/>
  <c r="BG194" i="3"/>
  <c r="N196" i="3"/>
  <c r="O196" i="3"/>
  <c r="P196" i="3"/>
  <c r="S196" i="3"/>
  <c r="V196" i="3"/>
  <c r="W196" i="3"/>
  <c r="X196" i="3"/>
  <c r="Y196" i="3"/>
  <c r="Z196" i="3"/>
  <c r="AA196" i="3"/>
  <c r="AD196" i="3"/>
  <c r="AE196" i="3"/>
  <c r="AI196" i="3"/>
  <c r="AL196" i="3"/>
  <c r="AM196" i="3"/>
  <c r="AQ196" i="3"/>
  <c r="AT196" i="3"/>
  <c r="AU196" i="3"/>
  <c r="AV196" i="3"/>
  <c r="AY196" i="3"/>
  <c r="BB196" i="3"/>
  <c r="BC196" i="3"/>
  <c r="BD196" i="3"/>
  <c r="BE196" i="3"/>
  <c r="BF196" i="3"/>
  <c r="BG196" i="3"/>
  <c r="N198" i="3"/>
  <c r="O198" i="3"/>
  <c r="S198" i="3"/>
  <c r="V198" i="3"/>
  <c r="W198" i="3"/>
  <c r="AA198" i="3"/>
  <c r="AD198" i="3"/>
  <c r="AE198" i="3"/>
  <c r="AF198" i="3"/>
  <c r="AI198" i="3"/>
  <c r="AL198" i="3"/>
  <c r="AM198" i="3"/>
  <c r="AN198" i="3"/>
  <c r="AO198" i="3"/>
  <c r="AP198" i="3"/>
  <c r="AQ198" i="3"/>
  <c r="AT198" i="3"/>
  <c r="AU198" i="3"/>
  <c r="AV198" i="3"/>
  <c r="AY198" i="3"/>
  <c r="BB198" i="3"/>
  <c r="BC198" i="3"/>
  <c r="BG198" i="3"/>
  <c r="N200" i="3"/>
  <c r="O200" i="3"/>
  <c r="P200" i="3"/>
  <c r="S200" i="3"/>
  <c r="V200" i="3"/>
  <c r="W200" i="3"/>
  <c r="X200" i="3"/>
  <c r="Y200" i="3"/>
  <c r="Z200" i="3"/>
  <c r="AA200" i="3"/>
  <c r="AD200" i="3"/>
  <c r="AE200" i="3"/>
  <c r="AF200" i="3"/>
  <c r="AI200" i="3"/>
  <c r="AL200" i="3"/>
  <c r="AM200" i="3"/>
  <c r="AQ200" i="3"/>
  <c r="AT200" i="3"/>
  <c r="AU200" i="3"/>
  <c r="AV200" i="3"/>
  <c r="AY200" i="3"/>
  <c r="BB200" i="3"/>
  <c r="BC200" i="3"/>
  <c r="BD200" i="3"/>
  <c r="BE200" i="3"/>
  <c r="BF200" i="3"/>
  <c r="BG200" i="3"/>
  <c r="N202" i="3"/>
  <c r="O202" i="3"/>
  <c r="P202" i="3"/>
  <c r="S202" i="3"/>
  <c r="V202" i="3"/>
  <c r="W202" i="3"/>
  <c r="AA202" i="3"/>
  <c r="AD202" i="3"/>
  <c r="AE202" i="3"/>
  <c r="AF202" i="3"/>
  <c r="AI202" i="3"/>
  <c r="AL202" i="3"/>
  <c r="AM202" i="3"/>
  <c r="AN202" i="3"/>
  <c r="AO202" i="3"/>
  <c r="AP202" i="3"/>
  <c r="AQ202" i="3"/>
  <c r="AT202" i="3"/>
  <c r="AU202" i="3"/>
  <c r="AV202" i="3"/>
  <c r="AY202" i="3"/>
  <c r="BB202" i="3"/>
  <c r="BC202" i="3"/>
  <c r="BG202" i="3"/>
  <c r="N204" i="3"/>
  <c r="O204" i="3"/>
  <c r="P204" i="3"/>
  <c r="S204" i="3"/>
  <c r="V204" i="3"/>
  <c r="W204" i="3"/>
  <c r="X204" i="3"/>
  <c r="Y204" i="3"/>
  <c r="Z204" i="3"/>
  <c r="AA204" i="3"/>
  <c r="AD204" i="3"/>
  <c r="AE204" i="3"/>
  <c r="AF204" i="3"/>
  <c r="AI204" i="3"/>
  <c r="AL204" i="3"/>
  <c r="AM204" i="3"/>
  <c r="AQ204" i="3"/>
  <c r="AT204" i="3"/>
  <c r="AU204" i="3"/>
  <c r="AV204" i="3"/>
  <c r="AY204" i="3"/>
  <c r="BB204" i="3"/>
  <c r="BC204" i="3"/>
  <c r="BD204" i="3"/>
  <c r="BE204" i="3"/>
  <c r="BF204" i="3"/>
  <c r="BG204" i="3"/>
  <c r="M204" i="3"/>
  <c r="M202" i="3"/>
  <c r="M200" i="3"/>
  <c r="M198" i="3"/>
  <c r="M196" i="3"/>
  <c r="M194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AA206" i="3"/>
  <c r="AB206" i="3"/>
  <c r="AC206" i="3"/>
  <c r="AD206" i="3"/>
  <c r="AE206" i="3"/>
  <c r="AF206" i="3"/>
  <c r="AG206" i="3"/>
  <c r="AH206" i="3"/>
  <c r="AI206" i="3"/>
  <c r="AJ206" i="3"/>
  <c r="AK206" i="3"/>
  <c r="AL206" i="3"/>
  <c r="AM206" i="3"/>
  <c r="AN206" i="3"/>
  <c r="AO206" i="3"/>
  <c r="AP206" i="3"/>
  <c r="AQ206" i="3"/>
  <c r="AR206" i="3"/>
  <c r="AS206" i="3"/>
  <c r="AT206" i="3"/>
  <c r="AU206" i="3"/>
  <c r="AV206" i="3"/>
  <c r="AW206" i="3"/>
  <c r="AX206" i="3"/>
  <c r="AY206" i="3"/>
  <c r="AZ206" i="3"/>
  <c r="BA206" i="3"/>
  <c r="BB206" i="3"/>
  <c r="BC206" i="3"/>
  <c r="BD206" i="3"/>
  <c r="BE206" i="3"/>
  <c r="BF206" i="3"/>
  <c r="BG206" i="3"/>
  <c r="BH206" i="3"/>
  <c r="BI206" i="3"/>
  <c r="M206" i="3"/>
  <c r="BB13" i="5"/>
  <c r="L104" i="1"/>
  <c r="N307" i="3"/>
  <c r="O307" i="3"/>
  <c r="P307" i="3"/>
  <c r="Q307" i="3"/>
  <c r="R307" i="3"/>
  <c r="S307" i="3"/>
  <c r="T307" i="3"/>
  <c r="U307" i="3"/>
  <c r="V307" i="3"/>
  <c r="W307" i="3"/>
  <c r="X307" i="3"/>
  <c r="Y307" i="3"/>
  <c r="Z307" i="3"/>
  <c r="AA307" i="3"/>
  <c r="AB307" i="3"/>
  <c r="AC307" i="3"/>
  <c r="AD307" i="3"/>
  <c r="AE307" i="3"/>
  <c r="AF307" i="3"/>
  <c r="AG307" i="3"/>
  <c r="AH307" i="3"/>
  <c r="AI307" i="3"/>
  <c r="AJ307" i="3"/>
  <c r="AK307" i="3"/>
  <c r="AL307" i="3"/>
  <c r="AM307" i="3"/>
  <c r="AN307" i="3"/>
  <c r="AO307" i="3"/>
  <c r="AP307" i="3"/>
  <c r="AQ307" i="3"/>
  <c r="AR307" i="3"/>
  <c r="AS307" i="3"/>
  <c r="AT307" i="3"/>
  <c r="AU307" i="3"/>
  <c r="AV307" i="3"/>
  <c r="AW307" i="3"/>
  <c r="AX307" i="3"/>
  <c r="AY307" i="3"/>
  <c r="AZ307" i="3"/>
  <c r="BA307" i="3"/>
  <c r="BB307" i="3"/>
  <c r="BC307" i="3"/>
  <c r="BD307" i="3"/>
  <c r="BE307" i="3"/>
  <c r="BF307" i="3"/>
  <c r="M307" i="3"/>
  <c r="F307" i="3"/>
  <c r="F306" i="3" s="1"/>
  <c r="B306" i="3"/>
  <c r="E309" i="3"/>
  <c r="D309" i="3"/>
  <c r="C309" i="3"/>
  <c r="H309" i="3" s="1"/>
  <c r="BH307" i="3"/>
  <c r="BG307" i="3"/>
  <c r="C307" i="3"/>
  <c r="H307" i="3" s="1"/>
  <c r="BJ306" i="3"/>
  <c r="E292" i="3"/>
  <c r="D292" i="3"/>
  <c r="C292" i="3"/>
  <c r="H292" i="3" s="1"/>
  <c r="E132" i="3"/>
  <c r="D132" i="3"/>
  <c r="C132" i="3"/>
  <c r="H132" i="3" s="1"/>
  <c r="H157" i="1"/>
  <c r="K157" i="1" s="1"/>
  <c r="W247" i="3"/>
  <c r="X247" i="3"/>
  <c r="Y247" i="3"/>
  <c r="Z247" i="3"/>
  <c r="AA247" i="3"/>
  <c r="AB247" i="3"/>
  <c r="V247" i="3"/>
  <c r="N237" i="3"/>
  <c r="O237" i="3"/>
  <c r="P237" i="3"/>
  <c r="Q237" i="3"/>
  <c r="R237" i="3"/>
  <c r="R249" i="3" s="1"/>
  <c r="S237" i="3"/>
  <c r="S243" i="3" s="1"/>
  <c r="T237" i="3"/>
  <c r="T249" i="3" s="1"/>
  <c r="U237" i="3"/>
  <c r="U251" i="3" s="1"/>
  <c r="V237" i="3"/>
  <c r="W237" i="3"/>
  <c r="X237" i="3"/>
  <c r="Y237" i="3"/>
  <c r="Z237" i="3"/>
  <c r="Z249" i="3" s="1"/>
  <c r="AA237" i="3"/>
  <c r="AA249" i="3" s="1"/>
  <c r="AB237" i="3"/>
  <c r="AB249" i="3" s="1"/>
  <c r="AC237" i="3"/>
  <c r="AC251" i="3" s="1"/>
  <c r="AD237" i="3"/>
  <c r="AE237" i="3"/>
  <c r="AF237" i="3"/>
  <c r="AG237" i="3"/>
  <c r="AH237" i="3"/>
  <c r="AH249" i="3" s="1"/>
  <c r="AI237" i="3"/>
  <c r="AI243" i="3" s="1"/>
  <c r="AJ237" i="3"/>
  <c r="AJ249" i="3" s="1"/>
  <c r="AK237" i="3"/>
  <c r="AK251" i="3" s="1"/>
  <c r="AL237" i="3"/>
  <c r="AM237" i="3"/>
  <c r="AN237" i="3"/>
  <c r="AO237" i="3"/>
  <c r="AP237" i="3"/>
  <c r="AP243" i="3" s="1"/>
  <c r="AQ237" i="3"/>
  <c r="AQ251" i="3" s="1"/>
  <c r="AR237" i="3"/>
  <c r="AR249" i="3" s="1"/>
  <c r="AS237" i="3"/>
  <c r="AS251" i="3" s="1"/>
  <c r="AT237" i="3"/>
  <c r="AU237" i="3"/>
  <c r="AV237" i="3"/>
  <c r="AW237" i="3"/>
  <c r="AX237" i="3"/>
  <c r="AX249" i="3" s="1"/>
  <c r="AY237" i="3"/>
  <c r="AY243" i="3" s="1"/>
  <c r="AZ237" i="3"/>
  <c r="AZ249" i="3" s="1"/>
  <c r="BA237" i="3"/>
  <c r="BA251" i="3" s="1"/>
  <c r="BB237" i="3"/>
  <c r="BC237" i="3"/>
  <c r="BD237" i="3"/>
  <c r="BE237" i="3"/>
  <c r="BF237" i="3"/>
  <c r="BF249" i="3" s="1"/>
  <c r="BG237" i="3"/>
  <c r="BG245" i="3" s="1"/>
  <c r="BH237" i="3"/>
  <c r="BH249" i="3" s="1"/>
  <c r="M237" i="3"/>
  <c r="M251" i="3" s="1"/>
  <c r="L130" i="1"/>
  <c r="N255" i="3"/>
  <c r="O255" i="3"/>
  <c r="P255" i="3"/>
  <c r="Q255" i="3"/>
  <c r="R255" i="3"/>
  <c r="S255" i="3"/>
  <c r="T255" i="3"/>
  <c r="U255" i="3"/>
  <c r="V255" i="3"/>
  <c r="W255" i="3"/>
  <c r="X255" i="3"/>
  <c r="Y255" i="3"/>
  <c r="Z255" i="3"/>
  <c r="AA255" i="3"/>
  <c r="AB255" i="3"/>
  <c r="AC255" i="3"/>
  <c r="AD255" i="3"/>
  <c r="AE255" i="3"/>
  <c r="AF255" i="3"/>
  <c r="AG255" i="3"/>
  <c r="AH255" i="3"/>
  <c r="AI255" i="3"/>
  <c r="AJ255" i="3"/>
  <c r="AK255" i="3"/>
  <c r="AL255" i="3"/>
  <c r="AM255" i="3"/>
  <c r="AN255" i="3"/>
  <c r="AO255" i="3"/>
  <c r="AP255" i="3"/>
  <c r="AQ255" i="3"/>
  <c r="AR255" i="3"/>
  <c r="AS255" i="3"/>
  <c r="AT255" i="3"/>
  <c r="AU255" i="3"/>
  <c r="AV255" i="3"/>
  <c r="AW255" i="3"/>
  <c r="AX255" i="3"/>
  <c r="AY255" i="3"/>
  <c r="AZ255" i="3"/>
  <c r="BA255" i="3"/>
  <c r="BB255" i="3"/>
  <c r="BC255" i="3"/>
  <c r="BD255" i="3"/>
  <c r="BE255" i="3"/>
  <c r="BF255" i="3"/>
  <c r="BG255" i="3"/>
  <c r="BH255" i="3"/>
  <c r="BI255" i="3"/>
  <c r="M255" i="3"/>
  <c r="L149" i="1"/>
  <c r="K149" i="1"/>
  <c r="G149" i="1"/>
  <c r="H149" i="1" s="1"/>
  <c r="I149" i="1" s="1"/>
  <c r="N274" i="3"/>
  <c r="O274" i="3"/>
  <c r="P274" i="3"/>
  <c r="Q274" i="3"/>
  <c r="R274" i="3"/>
  <c r="S274" i="3"/>
  <c r="T274" i="3"/>
  <c r="U274" i="3"/>
  <c r="V274" i="3"/>
  <c r="W274" i="3"/>
  <c r="X274" i="3"/>
  <c r="Y274" i="3"/>
  <c r="Z274" i="3"/>
  <c r="AA274" i="3"/>
  <c r="AB274" i="3"/>
  <c r="AC274" i="3"/>
  <c r="AD274" i="3"/>
  <c r="AE274" i="3"/>
  <c r="AF274" i="3"/>
  <c r="AG274" i="3"/>
  <c r="AH274" i="3"/>
  <c r="AI274" i="3"/>
  <c r="AJ274" i="3"/>
  <c r="AK274" i="3"/>
  <c r="AL274" i="3"/>
  <c r="AM274" i="3"/>
  <c r="AN274" i="3"/>
  <c r="AO274" i="3"/>
  <c r="AP274" i="3"/>
  <c r="AQ274" i="3"/>
  <c r="AR274" i="3"/>
  <c r="AS274" i="3"/>
  <c r="AT274" i="3"/>
  <c r="AU274" i="3"/>
  <c r="AV274" i="3"/>
  <c r="AW274" i="3"/>
  <c r="AX274" i="3"/>
  <c r="AY274" i="3"/>
  <c r="AZ274" i="3"/>
  <c r="BA274" i="3"/>
  <c r="BB274" i="3"/>
  <c r="BC274" i="3"/>
  <c r="BD274" i="3"/>
  <c r="BE274" i="3"/>
  <c r="BF274" i="3"/>
  <c r="BG274" i="3"/>
  <c r="BH274" i="3"/>
  <c r="N275" i="3"/>
  <c r="O275" i="3"/>
  <c r="P275" i="3"/>
  <c r="Q275" i="3"/>
  <c r="R275" i="3"/>
  <c r="S275" i="3"/>
  <c r="T275" i="3"/>
  <c r="U275" i="3"/>
  <c r="V275" i="3"/>
  <c r="W275" i="3"/>
  <c r="X275" i="3"/>
  <c r="Y275" i="3"/>
  <c r="Z275" i="3"/>
  <c r="AA275" i="3"/>
  <c r="AB275" i="3"/>
  <c r="AC275" i="3"/>
  <c r="AD275" i="3"/>
  <c r="AE275" i="3"/>
  <c r="AF275" i="3"/>
  <c r="AG275" i="3"/>
  <c r="AH275" i="3"/>
  <c r="AI275" i="3"/>
  <c r="AJ275" i="3"/>
  <c r="AK275" i="3"/>
  <c r="AL275" i="3"/>
  <c r="AM275" i="3"/>
  <c r="AN275" i="3"/>
  <c r="AO275" i="3"/>
  <c r="AP275" i="3"/>
  <c r="AQ275" i="3"/>
  <c r="AR275" i="3"/>
  <c r="AS275" i="3"/>
  <c r="AT275" i="3"/>
  <c r="AU275" i="3"/>
  <c r="AV275" i="3"/>
  <c r="AW275" i="3"/>
  <c r="AX275" i="3"/>
  <c r="AY275" i="3"/>
  <c r="AZ275" i="3"/>
  <c r="BA275" i="3"/>
  <c r="BB275" i="3"/>
  <c r="BC275" i="3"/>
  <c r="BD275" i="3"/>
  <c r="BE275" i="3"/>
  <c r="BF275" i="3"/>
  <c r="BG275" i="3"/>
  <c r="BH275" i="3"/>
  <c r="M275" i="3"/>
  <c r="M274" i="3"/>
  <c r="G275" i="3"/>
  <c r="G274" i="3"/>
  <c r="F274" i="3"/>
  <c r="D274" i="3"/>
  <c r="I273" i="3"/>
  <c r="BI283" i="3" s="1"/>
  <c r="I269" i="3"/>
  <c r="N290" i="3"/>
  <c r="O290" i="3"/>
  <c r="P290" i="3"/>
  <c r="Q290" i="3"/>
  <c r="R290" i="3"/>
  <c r="S290" i="3"/>
  <c r="T290" i="3"/>
  <c r="U290" i="3"/>
  <c r="V290" i="3"/>
  <c r="W290" i="3"/>
  <c r="X290" i="3"/>
  <c r="Y290" i="3"/>
  <c r="Z290" i="3"/>
  <c r="AA290" i="3"/>
  <c r="AB290" i="3"/>
  <c r="AC290" i="3"/>
  <c r="AD290" i="3"/>
  <c r="AE290" i="3"/>
  <c r="AF290" i="3"/>
  <c r="AG290" i="3"/>
  <c r="AH290" i="3"/>
  <c r="AI290" i="3"/>
  <c r="AJ290" i="3"/>
  <c r="AK290" i="3"/>
  <c r="AL290" i="3"/>
  <c r="AM290" i="3"/>
  <c r="AN290" i="3"/>
  <c r="AO290" i="3"/>
  <c r="AP290" i="3"/>
  <c r="AQ290" i="3"/>
  <c r="AR290" i="3"/>
  <c r="AS290" i="3"/>
  <c r="AT290" i="3"/>
  <c r="AU290" i="3"/>
  <c r="AV290" i="3"/>
  <c r="AW290" i="3"/>
  <c r="AX290" i="3"/>
  <c r="AY290" i="3"/>
  <c r="AZ290" i="3"/>
  <c r="BA290" i="3"/>
  <c r="BB290" i="3"/>
  <c r="BC290" i="3"/>
  <c r="BD290" i="3"/>
  <c r="BE290" i="3"/>
  <c r="BF290" i="3"/>
  <c r="BG290" i="3"/>
  <c r="BH290" i="3"/>
  <c r="M290" i="3"/>
  <c r="B289" i="3"/>
  <c r="C290" i="3"/>
  <c r="BJ289" i="3"/>
  <c r="H153" i="1"/>
  <c r="K153" i="1" s="1"/>
  <c r="BJ148" i="3"/>
  <c r="BJ150" i="3"/>
  <c r="BJ151" i="3"/>
  <c r="BJ152" i="3"/>
  <c r="BJ153" i="3"/>
  <c r="BJ154" i="3"/>
  <c r="BJ156" i="3"/>
  <c r="BJ158" i="3"/>
  <c r="BJ160" i="3"/>
  <c r="BJ162" i="3"/>
  <c r="BJ164" i="3"/>
  <c r="BJ166" i="3"/>
  <c r="BJ168" i="3"/>
  <c r="BJ169" i="3"/>
  <c r="BJ170" i="3"/>
  <c r="BJ171" i="3"/>
  <c r="BJ172" i="3"/>
  <c r="M147" i="3"/>
  <c r="M163" i="3" s="1"/>
  <c r="N147" i="3"/>
  <c r="O147" i="3"/>
  <c r="P147" i="3"/>
  <c r="Q147" i="3"/>
  <c r="R147" i="3"/>
  <c r="R149" i="3" s="1"/>
  <c r="S147" i="3"/>
  <c r="S149" i="3" s="1"/>
  <c r="T147" i="3"/>
  <c r="T149" i="3" s="1"/>
  <c r="U147" i="3"/>
  <c r="V147" i="3"/>
  <c r="W147" i="3"/>
  <c r="X147" i="3"/>
  <c r="Y147" i="3"/>
  <c r="Z147" i="3"/>
  <c r="Z149" i="3" s="1"/>
  <c r="AA147" i="3"/>
  <c r="AA149" i="3" s="1"/>
  <c r="AB147" i="3"/>
  <c r="AB149" i="3" s="1"/>
  <c r="AC147" i="3"/>
  <c r="AD147" i="3"/>
  <c r="AE147" i="3"/>
  <c r="AF147" i="3"/>
  <c r="AG147" i="3"/>
  <c r="AH147" i="3"/>
  <c r="AH149" i="3" s="1"/>
  <c r="AI147" i="3"/>
  <c r="AI149" i="3" s="1"/>
  <c r="AJ147" i="3"/>
  <c r="AJ149" i="3" s="1"/>
  <c r="AK147" i="3"/>
  <c r="AL147" i="3"/>
  <c r="AM147" i="3"/>
  <c r="AN147" i="3"/>
  <c r="AO147" i="3"/>
  <c r="AP147" i="3"/>
  <c r="AP149" i="3" s="1"/>
  <c r="AQ147" i="3"/>
  <c r="AQ149" i="3" s="1"/>
  <c r="AR147" i="3"/>
  <c r="AR149" i="3" s="1"/>
  <c r="AS147" i="3"/>
  <c r="AT147" i="3"/>
  <c r="AU147" i="3"/>
  <c r="AV147" i="3"/>
  <c r="AW147" i="3"/>
  <c r="AX147" i="3"/>
  <c r="AX149" i="3" s="1"/>
  <c r="AY147" i="3"/>
  <c r="AY149" i="3" s="1"/>
  <c r="AZ147" i="3"/>
  <c r="AZ149" i="3" s="1"/>
  <c r="BA147" i="3"/>
  <c r="BB147" i="3"/>
  <c r="BC147" i="3"/>
  <c r="BD147" i="3"/>
  <c r="BE147" i="3"/>
  <c r="BF147" i="3"/>
  <c r="BF149" i="3" s="1"/>
  <c r="BG147" i="3"/>
  <c r="BG149" i="3" s="1"/>
  <c r="BH147" i="3"/>
  <c r="BH149" i="3" s="1"/>
  <c r="BI147" i="3"/>
  <c r="N173" i="3"/>
  <c r="O173" i="3"/>
  <c r="P173" i="3"/>
  <c r="S173" i="3"/>
  <c r="T173" i="3"/>
  <c r="U173" i="3"/>
  <c r="V173" i="3"/>
  <c r="W173" i="3"/>
  <c r="X173" i="3"/>
  <c r="Y173" i="3"/>
  <c r="Z173" i="3"/>
  <c r="AA173" i="3"/>
  <c r="AC173" i="3"/>
  <c r="AD173" i="3"/>
  <c r="AE173" i="3"/>
  <c r="AF173" i="3"/>
  <c r="AG173" i="3"/>
  <c r="AH173" i="3"/>
  <c r="AI173" i="3"/>
  <c r="M173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AA221" i="3"/>
  <c r="AB221" i="3"/>
  <c r="AC221" i="3"/>
  <c r="AD221" i="3"/>
  <c r="AE221" i="3"/>
  <c r="AF221" i="3"/>
  <c r="AG221" i="3"/>
  <c r="AH221" i="3"/>
  <c r="AI221" i="3"/>
  <c r="M221" i="3"/>
  <c r="C222" i="3"/>
  <c r="H73" i="1"/>
  <c r="N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M130" i="3"/>
  <c r="BB53" i="5"/>
  <c r="BB54" i="5"/>
  <c r="BB55" i="5"/>
  <c r="N270" i="3"/>
  <c r="P270" i="3"/>
  <c r="Q270" i="3"/>
  <c r="R270" i="3"/>
  <c r="S270" i="3"/>
  <c r="T270" i="3"/>
  <c r="U270" i="3"/>
  <c r="V270" i="3"/>
  <c r="W270" i="3"/>
  <c r="X270" i="3"/>
  <c r="Y270" i="3"/>
  <c r="Z270" i="3"/>
  <c r="AA270" i="3"/>
  <c r="AB270" i="3"/>
  <c r="AC270" i="3"/>
  <c r="AD270" i="3"/>
  <c r="AE270" i="3"/>
  <c r="AF270" i="3"/>
  <c r="N271" i="3"/>
  <c r="P271" i="3"/>
  <c r="Q271" i="3"/>
  <c r="R271" i="3"/>
  <c r="S271" i="3"/>
  <c r="T271" i="3"/>
  <c r="U271" i="3"/>
  <c r="V271" i="3"/>
  <c r="W271" i="3"/>
  <c r="X271" i="3"/>
  <c r="Y271" i="3"/>
  <c r="Z271" i="3"/>
  <c r="AA271" i="3"/>
  <c r="AB271" i="3"/>
  <c r="AC271" i="3"/>
  <c r="AD271" i="3"/>
  <c r="AE271" i="3"/>
  <c r="AF271" i="3"/>
  <c r="M271" i="3"/>
  <c r="M270" i="3"/>
  <c r="Y230" i="3" l="1"/>
  <c r="Y232" i="3" s="1"/>
  <c r="Y225" i="3"/>
  <c r="Y227" i="3" s="1"/>
  <c r="R225" i="3"/>
  <c r="R227" i="3" s="1"/>
  <c r="R230" i="3"/>
  <c r="R232" i="3" s="1"/>
  <c r="Q230" i="3"/>
  <c r="Q232" i="3" s="1"/>
  <c r="Q225" i="3"/>
  <c r="Q227" i="3" s="1"/>
  <c r="P225" i="3"/>
  <c r="P227" i="3" s="1"/>
  <c r="P230" i="3"/>
  <c r="P232" i="3" s="1"/>
  <c r="O225" i="3"/>
  <c r="O227" i="3" s="1"/>
  <c r="O230" i="3"/>
  <c r="O232" i="3" s="1"/>
  <c r="AD230" i="3"/>
  <c r="AD232" i="3" s="1"/>
  <c r="AD225" i="3"/>
  <c r="AD227" i="3" s="1"/>
  <c r="AC230" i="3"/>
  <c r="AC232" i="3" s="1"/>
  <c r="AC225" i="3"/>
  <c r="AC227" i="3" s="1"/>
  <c r="N230" i="3"/>
  <c r="N232" i="3" s="1"/>
  <c r="N225" i="3"/>
  <c r="N227" i="3" s="1"/>
  <c r="N140" i="3"/>
  <c r="N135" i="3"/>
  <c r="H306" i="3"/>
  <c r="U312" i="3"/>
  <c r="AC312" i="3"/>
  <c r="AK312" i="3"/>
  <c r="AS312" i="3"/>
  <c r="BA312" i="3"/>
  <c r="BI312" i="3"/>
  <c r="Y312" i="3"/>
  <c r="BE312" i="3"/>
  <c r="AO312" i="3"/>
  <c r="Q312" i="3"/>
  <c r="BD312" i="3"/>
  <c r="AN312" i="3"/>
  <c r="AF312" i="3"/>
  <c r="X312" i="3"/>
  <c r="P312" i="3"/>
  <c r="R194" i="3"/>
  <c r="AW312" i="3"/>
  <c r="AG312" i="3"/>
  <c r="AV312" i="3"/>
  <c r="BC312" i="3"/>
  <c r="AU312" i="3"/>
  <c r="AM312" i="3"/>
  <c r="AE312" i="3"/>
  <c r="W312" i="3"/>
  <c r="O312" i="3"/>
  <c r="AH204" i="3"/>
  <c r="AX202" i="3"/>
  <c r="R202" i="3"/>
  <c r="AH200" i="3"/>
  <c r="AX198" i="3"/>
  <c r="R198" i="3"/>
  <c r="AH196" i="3"/>
  <c r="AX194" i="3"/>
  <c r="Q194" i="3"/>
  <c r="BB312" i="3"/>
  <c r="AT312" i="3"/>
  <c r="AL312" i="3"/>
  <c r="AD312" i="3"/>
  <c r="V312" i="3"/>
  <c r="N312" i="3"/>
  <c r="AG204" i="3"/>
  <c r="AW202" i="3"/>
  <c r="Q202" i="3"/>
  <c r="AG200" i="3"/>
  <c r="AW198" i="3"/>
  <c r="Q198" i="3"/>
  <c r="AG196" i="3"/>
  <c r="AW194" i="3"/>
  <c r="P194" i="3"/>
  <c r="AP204" i="3"/>
  <c r="BF202" i="3"/>
  <c r="Z202" i="3"/>
  <c r="AP200" i="3"/>
  <c r="BF198" i="3"/>
  <c r="Z198" i="3"/>
  <c r="AZ312" i="3"/>
  <c r="AR312" i="3"/>
  <c r="AJ312" i="3"/>
  <c r="AB312" i="3"/>
  <c r="T312" i="3"/>
  <c r="AO204" i="3"/>
  <c r="BE202" i="3"/>
  <c r="Y202" i="3"/>
  <c r="AO200" i="3"/>
  <c r="BE198" i="3"/>
  <c r="Y198" i="3"/>
  <c r="BG312" i="3"/>
  <c r="AY312" i="3"/>
  <c r="AQ312" i="3"/>
  <c r="AI312" i="3"/>
  <c r="AA312" i="3"/>
  <c r="S312" i="3"/>
  <c r="AX204" i="3"/>
  <c r="AN204" i="3"/>
  <c r="R204" i="3"/>
  <c r="BD202" i="3"/>
  <c r="AH202" i="3"/>
  <c r="X202" i="3"/>
  <c r="AX200" i="3"/>
  <c r="AN200" i="3"/>
  <c r="R200" i="3"/>
  <c r="BD198" i="3"/>
  <c r="AH198" i="3"/>
  <c r="X198" i="3"/>
  <c r="BJ192" i="3"/>
  <c r="I268" i="3"/>
  <c r="I283" i="3" s="1"/>
  <c r="BH312" i="3"/>
  <c r="BF312" i="3"/>
  <c r="AX312" i="3"/>
  <c r="AP312" i="3"/>
  <c r="AH312" i="3"/>
  <c r="Z312" i="3"/>
  <c r="R312" i="3"/>
  <c r="BJ206" i="3"/>
  <c r="AW204" i="3"/>
  <c r="Q204" i="3"/>
  <c r="AG202" i="3"/>
  <c r="AW200" i="3"/>
  <c r="Q200" i="3"/>
  <c r="AG198" i="3"/>
  <c r="AS194" i="3"/>
  <c r="AK194" i="3"/>
  <c r="AC194" i="3"/>
  <c r="U194" i="3"/>
  <c r="BA194" i="3"/>
  <c r="AS196" i="3"/>
  <c r="AK196" i="3"/>
  <c r="AC196" i="3"/>
  <c r="U196" i="3"/>
  <c r="BI194" i="3"/>
  <c r="AZ194" i="3"/>
  <c r="AR194" i="3"/>
  <c r="AJ194" i="3"/>
  <c r="AB194" i="3"/>
  <c r="T194" i="3"/>
  <c r="AS198" i="3"/>
  <c r="AK198" i="3"/>
  <c r="AC198" i="3"/>
  <c r="U198" i="3"/>
  <c r="BI196" i="3"/>
  <c r="AZ196" i="3"/>
  <c r="AR196" i="3"/>
  <c r="AJ196" i="3"/>
  <c r="AB196" i="3"/>
  <c r="T196" i="3"/>
  <c r="BH194" i="3"/>
  <c r="BI204" i="3"/>
  <c r="BA204" i="3"/>
  <c r="AS204" i="3"/>
  <c r="AK204" i="3"/>
  <c r="AC204" i="3"/>
  <c r="U204" i="3"/>
  <c r="BI202" i="3"/>
  <c r="BA202" i="3"/>
  <c r="AS202" i="3"/>
  <c r="AK202" i="3"/>
  <c r="AC202" i="3"/>
  <c r="U202" i="3"/>
  <c r="BI200" i="3"/>
  <c r="BA200" i="3"/>
  <c r="AS200" i="3"/>
  <c r="AK200" i="3"/>
  <c r="AC200" i="3"/>
  <c r="U200" i="3"/>
  <c r="BI198" i="3"/>
  <c r="AZ198" i="3"/>
  <c r="AR198" i="3"/>
  <c r="AJ198" i="3"/>
  <c r="AB198" i="3"/>
  <c r="T198" i="3"/>
  <c r="BH196" i="3"/>
  <c r="BH204" i="3"/>
  <c r="AZ204" i="3"/>
  <c r="AR204" i="3"/>
  <c r="AJ204" i="3"/>
  <c r="AB204" i="3"/>
  <c r="T204" i="3"/>
  <c r="BH202" i="3"/>
  <c r="AZ202" i="3"/>
  <c r="AR202" i="3"/>
  <c r="AJ202" i="3"/>
  <c r="AB202" i="3"/>
  <c r="T202" i="3"/>
  <c r="BH200" i="3"/>
  <c r="T200" i="3"/>
  <c r="BA196" i="3"/>
  <c r="BA198" i="3"/>
  <c r="L312" i="3"/>
  <c r="M312" i="3"/>
  <c r="G307" i="3"/>
  <c r="M253" i="3"/>
  <c r="AK253" i="3"/>
  <c r="AY249" i="3"/>
  <c r="BG283" i="3"/>
  <c r="AC253" i="3"/>
  <c r="AW283" i="3"/>
  <c r="BC283" i="3"/>
  <c r="BG243" i="3"/>
  <c r="AP249" i="3"/>
  <c r="AQ283" i="3"/>
  <c r="AQ243" i="3"/>
  <c r="AI249" i="3"/>
  <c r="AY283" i="3"/>
  <c r="BA283" i="3"/>
  <c r="AS283" i="3"/>
  <c r="AH243" i="3"/>
  <c r="S249" i="3"/>
  <c r="AN283" i="3"/>
  <c r="AA243" i="3"/>
  <c r="BD283" i="3"/>
  <c r="BF243" i="3"/>
  <c r="Z243" i="3"/>
  <c r="U253" i="3"/>
  <c r="BG249" i="3"/>
  <c r="AX243" i="3"/>
  <c r="R243" i="3"/>
  <c r="AV283" i="3"/>
  <c r="BA253" i="3"/>
  <c r="BE283" i="3"/>
  <c r="AO283" i="3"/>
  <c r="AS253" i="3"/>
  <c r="AQ249" i="3"/>
  <c r="BH245" i="3"/>
  <c r="T245" i="3"/>
  <c r="T251" i="3"/>
  <c r="AA245" i="3"/>
  <c r="T253" i="3"/>
  <c r="AI251" i="3"/>
  <c r="BH283" i="3"/>
  <c r="AZ283" i="3"/>
  <c r="AR283" i="3"/>
  <c r="BF245" i="3"/>
  <c r="AX245" i="3"/>
  <c r="AP245" i="3"/>
  <c r="AH245" i="3"/>
  <c r="Z245" i="3"/>
  <c r="R245" i="3"/>
  <c r="BE243" i="3"/>
  <c r="AW243" i="3"/>
  <c r="AO243" i="3"/>
  <c r="AG243" i="3"/>
  <c r="Y243" i="3"/>
  <c r="Q243" i="3"/>
  <c r="BG253" i="3"/>
  <c r="AY253" i="3"/>
  <c r="AQ253" i="3"/>
  <c r="AI253" i="3"/>
  <c r="AA253" i="3"/>
  <c r="S253" i="3"/>
  <c r="BF251" i="3"/>
  <c r="AX251" i="3"/>
  <c r="AP251" i="3"/>
  <c r="AH251" i="3"/>
  <c r="Z251" i="3"/>
  <c r="R251" i="3"/>
  <c r="BE249" i="3"/>
  <c r="AW249" i="3"/>
  <c r="AO249" i="3"/>
  <c r="AG249" i="3"/>
  <c r="Y249" i="3"/>
  <c r="Q249" i="3"/>
  <c r="AB245" i="3"/>
  <c r="AZ251" i="3"/>
  <c r="AQ245" i="3"/>
  <c r="AJ253" i="3"/>
  <c r="AA251" i="3"/>
  <c r="BE245" i="3"/>
  <c r="AW245" i="3"/>
  <c r="AO245" i="3"/>
  <c r="AG245" i="3"/>
  <c r="Y245" i="3"/>
  <c r="Q245" i="3"/>
  <c r="BD243" i="3"/>
  <c r="AV243" i="3"/>
  <c r="AN243" i="3"/>
  <c r="AF243" i="3"/>
  <c r="X243" i="3"/>
  <c r="P243" i="3"/>
  <c r="BF253" i="3"/>
  <c r="AX253" i="3"/>
  <c r="AP253" i="3"/>
  <c r="AH253" i="3"/>
  <c r="Z253" i="3"/>
  <c r="R253" i="3"/>
  <c r="BE251" i="3"/>
  <c r="AW251" i="3"/>
  <c r="AO251" i="3"/>
  <c r="AG251" i="3"/>
  <c r="Y251" i="3"/>
  <c r="Q251" i="3"/>
  <c r="BD249" i="3"/>
  <c r="AV249" i="3"/>
  <c r="AN249" i="3"/>
  <c r="AF249" i="3"/>
  <c r="X249" i="3"/>
  <c r="P249" i="3"/>
  <c r="AJ245" i="3"/>
  <c r="BH251" i="3"/>
  <c r="AY245" i="3"/>
  <c r="AZ253" i="3"/>
  <c r="AY251" i="3"/>
  <c r="BD245" i="3"/>
  <c r="AV245" i="3"/>
  <c r="AN245" i="3"/>
  <c r="AF245" i="3"/>
  <c r="X245" i="3"/>
  <c r="P245" i="3"/>
  <c r="BC243" i="3"/>
  <c r="AU243" i="3"/>
  <c r="AM243" i="3"/>
  <c r="AE243" i="3"/>
  <c r="W243" i="3"/>
  <c r="O243" i="3"/>
  <c r="BE253" i="3"/>
  <c r="AW253" i="3"/>
  <c r="AO253" i="3"/>
  <c r="AG253" i="3"/>
  <c r="Y253" i="3"/>
  <c r="Q253" i="3"/>
  <c r="BD251" i="3"/>
  <c r="AV251" i="3"/>
  <c r="AN251" i="3"/>
  <c r="AF251" i="3"/>
  <c r="X251" i="3"/>
  <c r="P251" i="3"/>
  <c r="BC249" i="3"/>
  <c r="AU249" i="3"/>
  <c r="AM249" i="3"/>
  <c r="AE249" i="3"/>
  <c r="W249" i="3"/>
  <c r="O249" i="3"/>
  <c r="AR245" i="3"/>
  <c r="AJ251" i="3"/>
  <c r="S245" i="3"/>
  <c r="BH253" i="3"/>
  <c r="BG251" i="3"/>
  <c r="S251" i="3"/>
  <c r="BC245" i="3"/>
  <c r="AU245" i="3"/>
  <c r="AM245" i="3"/>
  <c r="AE245" i="3"/>
  <c r="W245" i="3"/>
  <c r="O245" i="3"/>
  <c r="BB243" i="3"/>
  <c r="AT243" i="3"/>
  <c r="AL243" i="3"/>
  <c r="AD243" i="3"/>
  <c r="V243" i="3"/>
  <c r="N243" i="3"/>
  <c r="BD253" i="3"/>
  <c r="AV253" i="3"/>
  <c r="AN253" i="3"/>
  <c r="AF253" i="3"/>
  <c r="X253" i="3"/>
  <c r="P253" i="3"/>
  <c r="BC251" i="3"/>
  <c r="AU251" i="3"/>
  <c r="AM251" i="3"/>
  <c r="AE251" i="3"/>
  <c r="W251" i="3"/>
  <c r="O251" i="3"/>
  <c r="BB249" i="3"/>
  <c r="AT249" i="3"/>
  <c r="AL249" i="3"/>
  <c r="AD249" i="3"/>
  <c r="V249" i="3"/>
  <c r="N249" i="3"/>
  <c r="AB251" i="3"/>
  <c r="AI245" i="3"/>
  <c r="AB253" i="3"/>
  <c r="AU283" i="3"/>
  <c r="M243" i="3"/>
  <c r="BB245" i="3"/>
  <c r="AT245" i="3"/>
  <c r="AL245" i="3"/>
  <c r="AD245" i="3"/>
  <c r="V245" i="3"/>
  <c r="N245" i="3"/>
  <c r="BA243" i="3"/>
  <c r="AS243" i="3"/>
  <c r="AK243" i="3"/>
  <c r="AC243" i="3"/>
  <c r="U243" i="3"/>
  <c r="M249" i="3"/>
  <c r="BC253" i="3"/>
  <c r="AU253" i="3"/>
  <c r="AM253" i="3"/>
  <c r="AE253" i="3"/>
  <c r="W253" i="3"/>
  <c r="O253" i="3"/>
  <c r="BB251" i="3"/>
  <c r="AT251" i="3"/>
  <c r="AL251" i="3"/>
  <c r="AD251" i="3"/>
  <c r="V251" i="3"/>
  <c r="N251" i="3"/>
  <c r="BA249" i="3"/>
  <c r="AS249" i="3"/>
  <c r="AK249" i="3"/>
  <c r="AC249" i="3"/>
  <c r="U249" i="3"/>
  <c r="AZ245" i="3"/>
  <c r="AR251" i="3"/>
  <c r="AR253" i="3"/>
  <c r="M245" i="3"/>
  <c r="BA245" i="3"/>
  <c r="AS245" i="3"/>
  <c r="AK245" i="3"/>
  <c r="AC245" i="3"/>
  <c r="U245" i="3"/>
  <c r="BH243" i="3"/>
  <c r="AZ243" i="3"/>
  <c r="AR243" i="3"/>
  <c r="AJ243" i="3"/>
  <c r="AB243" i="3"/>
  <c r="T243" i="3"/>
  <c r="BB253" i="3"/>
  <c r="AT253" i="3"/>
  <c r="AL253" i="3"/>
  <c r="AD253" i="3"/>
  <c r="V253" i="3"/>
  <c r="N253" i="3"/>
  <c r="F290" i="3"/>
  <c r="F289" i="3" s="1"/>
  <c r="BF283" i="3"/>
  <c r="AX283" i="3"/>
  <c r="O283" i="3"/>
  <c r="BB283" i="3"/>
  <c r="AT283" i="3"/>
  <c r="AD283" i="3"/>
  <c r="V283" i="3"/>
  <c r="AH283" i="3"/>
  <c r="BJ275" i="3"/>
  <c r="AC283" i="3"/>
  <c r="BJ274" i="3"/>
  <c r="U283" i="3"/>
  <c r="AG283" i="3"/>
  <c r="AP283" i="3"/>
  <c r="AL283" i="3"/>
  <c r="AM283" i="3"/>
  <c r="AK283" i="3"/>
  <c r="AJ283" i="3"/>
  <c r="AI283" i="3"/>
  <c r="AB283" i="3"/>
  <c r="T283" i="3"/>
  <c r="S283" i="3"/>
  <c r="Z283" i="3"/>
  <c r="R283" i="3"/>
  <c r="Y283" i="3"/>
  <c r="Q283" i="3"/>
  <c r="AA283" i="3"/>
  <c r="AF283" i="3"/>
  <c r="X283" i="3"/>
  <c r="P283" i="3"/>
  <c r="AE283" i="3"/>
  <c r="W283" i="3"/>
  <c r="BJ173" i="3"/>
  <c r="BD167" i="3"/>
  <c r="AV167" i="3"/>
  <c r="AN167" i="3"/>
  <c r="AF167" i="3"/>
  <c r="X167" i="3"/>
  <c r="P167" i="3"/>
  <c r="BD165" i="3"/>
  <c r="AV165" i="3"/>
  <c r="AN165" i="3"/>
  <c r="AF165" i="3"/>
  <c r="X165" i="3"/>
  <c r="P165" i="3"/>
  <c r="BD163" i="3"/>
  <c r="AV163" i="3"/>
  <c r="AN163" i="3"/>
  <c r="AF163" i="3"/>
  <c r="X163" i="3"/>
  <c r="P163" i="3"/>
  <c r="BD161" i="3"/>
  <c r="AV161" i="3"/>
  <c r="AN161" i="3"/>
  <c r="AF161" i="3"/>
  <c r="X161" i="3"/>
  <c r="P161" i="3"/>
  <c r="BD159" i="3"/>
  <c r="AV159" i="3"/>
  <c r="AN159" i="3"/>
  <c r="AF159" i="3"/>
  <c r="X159" i="3"/>
  <c r="P159" i="3"/>
  <c r="BD157" i="3"/>
  <c r="AV157" i="3"/>
  <c r="AN157" i="3"/>
  <c r="AF157" i="3"/>
  <c r="X157" i="3"/>
  <c r="P157" i="3"/>
  <c r="BD155" i="3"/>
  <c r="AV155" i="3"/>
  <c r="AN155" i="3"/>
  <c r="AF155" i="3"/>
  <c r="X155" i="3"/>
  <c r="P155" i="3"/>
  <c r="BE149" i="3"/>
  <c r="AW149" i="3"/>
  <c r="AO149" i="3"/>
  <c r="AG149" i="3"/>
  <c r="Y149" i="3"/>
  <c r="Q149" i="3"/>
  <c r="M165" i="3"/>
  <c r="BC167" i="3"/>
  <c r="AU167" i="3"/>
  <c r="AM167" i="3"/>
  <c r="AE167" i="3"/>
  <c r="W167" i="3"/>
  <c r="O167" i="3"/>
  <c r="BC165" i="3"/>
  <c r="AU165" i="3"/>
  <c r="AM165" i="3"/>
  <c r="AE165" i="3"/>
  <c r="W165" i="3"/>
  <c r="O165" i="3"/>
  <c r="BC163" i="3"/>
  <c r="AU163" i="3"/>
  <c r="AM163" i="3"/>
  <c r="AE163" i="3"/>
  <c r="W163" i="3"/>
  <c r="O163" i="3"/>
  <c r="BC161" i="3"/>
  <c r="AU161" i="3"/>
  <c r="AM161" i="3"/>
  <c r="AE161" i="3"/>
  <c r="W161" i="3"/>
  <c r="O161" i="3"/>
  <c r="BC159" i="3"/>
  <c r="AU159" i="3"/>
  <c r="AM159" i="3"/>
  <c r="AE159" i="3"/>
  <c r="W159" i="3"/>
  <c r="O159" i="3"/>
  <c r="BC157" i="3"/>
  <c r="AU157" i="3"/>
  <c r="AM157" i="3"/>
  <c r="AE157" i="3"/>
  <c r="W157" i="3"/>
  <c r="O157" i="3"/>
  <c r="BC155" i="3"/>
  <c r="AU155" i="3"/>
  <c r="AM155" i="3"/>
  <c r="AE155" i="3"/>
  <c r="W155" i="3"/>
  <c r="O155" i="3"/>
  <c r="BD149" i="3"/>
  <c r="AV149" i="3"/>
  <c r="AN149" i="3"/>
  <c r="AF149" i="3"/>
  <c r="X149" i="3"/>
  <c r="P149" i="3"/>
  <c r="M167" i="3"/>
  <c r="BB167" i="3"/>
  <c r="AT167" i="3"/>
  <c r="AL167" i="3"/>
  <c r="AD167" i="3"/>
  <c r="V167" i="3"/>
  <c r="N167" i="3"/>
  <c r="BB165" i="3"/>
  <c r="AT165" i="3"/>
  <c r="AL165" i="3"/>
  <c r="AD165" i="3"/>
  <c r="V165" i="3"/>
  <c r="N165" i="3"/>
  <c r="BB163" i="3"/>
  <c r="AT163" i="3"/>
  <c r="AL163" i="3"/>
  <c r="AD163" i="3"/>
  <c r="V163" i="3"/>
  <c r="N163" i="3"/>
  <c r="BB161" i="3"/>
  <c r="AT161" i="3"/>
  <c r="AL161" i="3"/>
  <c r="AD161" i="3"/>
  <c r="V161" i="3"/>
  <c r="N161" i="3"/>
  <c r="BB159" i="3"/>
  <c r="AT159" i="3"/>
  <c r="AL159" i="3"/>
  <c r="AD159" i="3"/>
  <c r="V159" i="3"/>
  <c r="N159" i="3"/>
  <c r="BB157" i="3"/>
  <c r="AT157" i="3"/>
  <c r="AL157" i="3"/>
  <c r="AD157" i="3"/>
  <c r="V157" i="3"/>
  <c r="N157" i="3"/>
  <c r="BB155" i="3"/>
  <c r="AT155" i="3"/>
  <c r="AL155" i="3"/>
  <c r="AD155" i="3"/>
  <c r="V155" i="3"/>
  <c r="N155" i="3"/>
  <c r="BC149" i="3"/>
  <c r="AU149" i="3"/>
  <c r="AM149" i="3"/>
  <c r="AE149" i="3"/>
  <c r="W149" i="3"/>
  <c r="O149" i="3"/>
  <c r="BI167" i="3"/>
  <c r="BA167" i="3"/>
  <c r="AS167" i="3"/>
  <c r="AK167" i="3"/>
  <c r="AC167" i="3"/>
  <c r="U167" i="3"/>
  <c r="BI165" i="3"/>
  <c r="BA165" i="3"/>
  <c r="AS165" i="3"/>
  <c r="AK165" i="3"/>
  <c r="AC165" i="3"/>
  <c r="U165" i="3"/>
  <c r="BI163" i="3"/>
  <c r="BA163" i="3"/>
  <c r="AS163" i="3"/>
  <c r="AK163" i="3"/>
  <c r="AC163" i="3"/>
  <c r="U163" i="3"/>
  <c r="BI161" i="3"/>
  <c r="BA161" i="3"/>
  <c r="AS161" i="3"/>
  <c r="AK161" i="3"/>
  <c r="AC161" i="3"/>
  <c r="U161" i="3"/>
  <c r="BI159" i="3"/>
  <c r="BA159" i="3"/>
  <c r="AS159" i="3"/>
  <c r="AK159" i="3"/>
  <c r="AC159" i="3"/>
  <c r="U159" i="3"/>
  <c r="BI157" i="3"/>
  <c r="BA157" i="3"/>
  <c r="AS157" i="3"/>
  <c r="AK157" i="3"/>
  <c r="AC157" i="3"/>
  <c r="U157" i="3"/>
  <c r="BI155" i="3"/>
  <c r="BA155" i="3"/>
  <c r="AS155" i="3"/>
  <c r="AK155" i="3"/>
  <c r="AC155" i="3"/>
  <c r="U155" i="3"/>
  <c r="M149" i="3"/>
  <c r="BB149" i="3"/>
  <c r="AT149" i="3"/>
  <c r="AL149" i="3"/>
  <c r="AD149" i="3"/>
  <c r="V149" i="3"/>
  <c r="N149" i="3"/>
  <c r="BH167" i="3"/>
  <c r="AZ167" i="3"/>
  <c r="AR167" i="3"/>
  <c r="AJ167" i="3"/>
  <c r="AB167" i="3"/>
  <c r="T167" i="3"/>
  <c r="BH165" i="3"/>
  <c r="AZ165" i="3"/>
  <c r="AR165" i="3"/>
  <c r="AJ165" i="3"/>
  <c r="AB165" i="3"/>
  <c r="T165" i="3"/>
  <c r="BH163" i="3"/>
  <c r="AZ163" i="3"/>
  <c r="AR163" i="3"/>
  <c r="AJ163" i="3"/>
  <c r="AB163" i="3"/>
  <c r="T163" i="3"/>
  <c r="BH161" i="3"/>
  <c r="AZ161" i="3"/>
  <c r="AR161" i="3"/>
  <c r="AJ161" i="3"/>
  <c r="AB161" i="3"/>
  <c r="T161" i="3"/>
  <c r="BH159" i="3"/>
  <c r="AZ159" i="3"/>
  <c r="AR159" i="3"/>
  <c r="AJ159" i="3"/>
  <c r="AB159" i="3"/>
  <c r="T159" i="3"/>
  <c r="BH157" i="3"/>
  <c r="AZ157" i="3"/>
  <c r="AR157" i="3"/>
  <c r="AJ157" i="3"/>
  <c r="AB157" i="3"/>
  <c r="T157" i="3"/>
  <c r="BH155" i="3"/>
  <c r="AZ155" i="3"/>
  <c r="AR155" i="3"/>
  <c r="AJ155" i="3"/>
  <c r="AB155" i="3"/>
  <c r="T155" i="3"/>
  <c r="BI149" i="3"/>
  <c r="BA149" i="3"/>
  <c r="AS149" i="3"/>
  <c r="AK149" i="3"/>
  <c r="AC149" i="3"/>
  <c r="U149" i="3"/>
  <c r="M155" i="3"/>
  <c r="BG167" i="3"/>
  <c r="AY167" i="3"/>
  <c r="AQ167" i="3"/>
  <c r="AI167" i="3"/>
  <c r="AA167" i="3"/>
  <c r="S167" i="3"/>
  <c r="BG165" i="3"/>
  <c r="AY165" i="3"/>
  <c r="AQ165" i="3"/>
  <c r="AI165" i="3"/>
  <c r="AA165" i="3"/>
  <c r="S165" i="3"/>
  <c r="BG163" i="3"/>
  <c r="AY163" i="3"/>
  <c r="AQ163" i="3"/>
  <c r="AI163" i="3"/>
  <c r="AA163" i="3"/>
  <c r="S163" i="3"/>
  <c r="BG161" i="3"/>
  <c r="AY161" i="3"/>
  <c r="AQ161" i="3"/>
  <c r="AI161" i="3"/>
  <c r="AA161" i="3"/>
  <c r="S161" i="3"/>
  <c r="BG159" i="3"/>
  <c r="AY159" i="3"/>
  <c r="AQ159" i="3"/>
  <c r="AI159" i="3"/>
  <c r="AA159" i="3"/>
  <c r="S159" i="3"/>
  <c r="BG157" i="3"/>
  <c r="AY157" i="3"/>
  <c r="AQ157" i="3"/>
  <c r="AI157" i="3"/>
  <c r="AA157" i="3"/>
  <c r="S157" i="3"/>
  <c r="BG155" i="3"/>
  <c r="AY155" i="3"/>
  <c r="AQ155" i="3"/>
  <c r="AI155" i="3"/>
  <c r="AA155" i="3"/>
  <c r="S155" i="3"/>
  <c r="M157" i="3"/>
  <c r="BF167" i="3"/>
  <c r="AX167" i="3"/>
  <c r="AP167" i="3"/>
  <c r="AH167" i="3"/>
  <c r="Z167" i="3"/>
  <c r="R167" i="3"/>
  <c r="BF165" i="3"/>
  <c r="AX165" i="3"/>
  <c r="AP165" i="3"/>
  <c r="AH165" i="3"/>
  <c r="Z165" i="3"/>
  <c r="R165" i="3"/>
  <c r="BF163" i="3"/>
  <c r="AX163" i="3"/>
  <c r="AP163" i="3"/>
  <c r="AH163" i="3"/>
  <c r="Z163" i="3"/>
  <c r="R163" i="3"/>
  <c r="BF161" i="3"/>
  <c r="AX161" i="3"/>
  <c r="AP161" i="3"/>
  <c r="AH161" i="3"/>
  <c r="Z161" i="3"/>
  <c r="R161" i="3"/>
  <c r="BF159" i="3"/>
  <c r="AX159" i="3"/>
  <c r="AP159" i="3"/>
  <c r="AH159" i="3"/>
  <c r="Z159" i="3"/>
  <c r="R159" i="3"/>
  <c r="BF157" i="3"/>
  <c r="AX157" i="3"/>
  <c r="AP157" i="3"/>
  <c r="AH157" i="3"/>
  <c r="Z157" i="3"/>
  <c r="R157" i="3"/>
  <c r="BF155" i="3"/>
  <c r="AX155" i="3"/>
  <c r="AP155" i="3"/>
  <c r="AH155" i="3"/>
  <c r="Z155" i="3"/>
  <c r="R155" i="3"/>
  <c r="M159" i="3"/>
  <c r="BE167" i="3"/>
  <c r="AW167" i="3"/>
  <c r="AO167" i="3"/>
  <c r="AG167" i="3"/>
  <c r="Y167" i="3"/>
  <c r="Q167" i="3"/>
  <c r="BE165" i="3"/>
  <c r="AW165" i="3"/>
  <c r="AO165" i="3"/>
  <c r="AG165" i="3"/>
  <c r="Y165" i="3"/>
  <c r="Q165" i="3"/>
  <c r="BE163" i="3"/>
  <c r="AW163" i="3"/>
  <c r="AO163" i="3"/>
  <c r="AG163" i="3"/>
  <c r="Y163" i="3"/>
  <c r="Q163" i="3"/>
  <c r="BE161" i="3"/>
  <c r="AW161" i="3"/>
  <c r="AO161" i="3"/>
  <c r="AG161" i="3"/>
  <c r="Y161" i="3"/>
  <c r="Q161" i="3"/>
  <c r="BE159" i="3"/>
  <c r="AW159" i="3"/>
  <c r="AO159" i="3"/>
  <c r="AG159" i="3"/>
  <c r="Y159" i="3"/>
  <c r="Q159" i="3"/>
  <c r="BE157" i="3"/>
  <c r="AW157" i="3"/>
  <c r="AO157" i="3"/>
  <c r="AG157" i="3"/>
  <c r="Y157" i="3"/>
  <c r="Q157" i="3"/>
  <c r="BE155" i="3"/>
  <c r="AW155" i="3"/>
  <c r="AO155" i="3"/>
  <c r="AG155" i="3"/>
  <c r="Y155" i="3"/>
  <c r="Q155" i="3"/>
  <c r="M161" i="3"/>
  <c r="BJ270" i="3"/>
  <c r="N137" i="3" l="1"/>
  <c r="N138" i="3" s="1"/>
  <c r="O138" i="3" s="1"/>
  <c r="P138" i="3" s="1"/>
  <c r="Q138" i="3" s="1"/>
  <c r="R138" i="3" s="1"/>
  <c r="S138" i="3" s="1"/>
  <c r="T138" i="3" s="1"/>
  <c r="U138" i="3" s="1"/>
  <c r="V138" i="3" s="1"/>
  <c r="W138" i="3" s="1"/>
  <c r="X138" i="3" s="1"/>
  <c r="Y138" i="3" s="1"/>
  <c r="Z138" i="3" s="1"/>
  <c r="AA138" i="3" s="1"/>
  <c r="AB138" i="3" s="1"/>
  <c r="AC138" i="3" s="1"/>
  <c r="AD138" i="3" s="1"/>
  <c r="AE138" i="3" s="1"/>
  <c r="AF138" i="3" s="1"/>
  <c r="AG138" i="3" s="1"/>
  <c r="AH138" i="3" s="1"/>
  <c r="AI138" i="3" s="1"/>
  <c r="AJ138" i="3" s="1"/>
  <c r="AK138" i="3" s="1"/>
  <c r="AL138" i="3" s="1"/>
  <c r="AM138" i="3" s="1"/>
  <c r="AN138" i="3" s="1"/>
  <c r="AO138" i="3" s="1"/>
  <c r="AP138" i="3" s="1"/>
  <c r="AQ138" i="3" s="1"/>
  <c r="AR138" i="3" s="1"/>
  <c r="AS138" i="3" s="1"/>
  <c r="AT138" i="3" s="1"/>
  <c r="AU138" i="3" s="1"/>
  <c r="AV138" i="3" s="1"/>
  <c r="AW138" i="3" s="1"/>
  <c r="AX138" i="3" s="1"/>
  <c r="AY138" i="3" s="1"/>
  <c r="AZ138" i="3" s="1"/>
  <c r="BA138" i="3" s="1"/>
  <c r="BB138" i="3" s="1"/>
  <c r="BC138" i="3" s="1"/>
  <c r="BD138" i="3" s="1"/>
  <c r="BE138" i="3" s="1"/>
  <c r="BF138" i="3" s="1"/>
  <c r="BG138" i="3" s="1"/>
  <c r="BH138" i="3" s="1"/>
  <c r="BI138" i="3" s="1"/>
  <c r="N136" i="3"/>
  <c r="O136" i="3" s="1"/>
  <c r="P136" i="3" s="1"/>
  <c r="Q136" i="3" s="1"/>
  <c r="R136" i="3" s="1"/>
  <c r="S136" i="3" s="1"/>
  <c r="T136" i="3" s="1"/>
  <c r="U136" i="3" s="1"/>
  <c r="V136" i="3" s="1"/>
  <c r="W136" i="3" s="1"/>
  <c r="X136" i="3" s="1"/>
  <c r="Y136" i="3" s="1"/>
  <c r="Z136" i="3" s="1"/>
  <c r="AA136" i="3" s="1"/>
  <c r="AB136" i="3" s="1"/>
  <c r="AC136" i="3" s="1"/>
  <c r="AD136" i="3" s="1"/>
  <c r="AE136" i="3" s="1"/>
  <c r="AF136" i="3" s="1"/>
  <c r="AG136" i="3" s="1"/>
  <c r="AH136" i="3" s="1"/>
  <c r="AI136" i="3" s="1"/>
  <c r="AJ136" i="3" s="1"/>
  <c r="AK136" i="3" s="1"/>
  <c r="AL136" i="3" s="1"/>
  <c r="AM136" i="3" s="1"/>
  <c r="AN136" i="3" s="1"/>
  <c r="AO136" i="3" s="1"/>
  <c r="AP136" i="3" s="1"/>
  <c r="AQ136" i="3" s="1"/>
  <c r="AR136" i="3" s="1"/>
  <c r="AS136" i="3" s="1"/>
  <c r="AT136" i="3" s="1"/>
  <c r="AU136" i="3" s="1"/>
  <c r="AV136" i="3" s="1"/>
  <c r="AW136" i="3" s="1"/>
  <c r="AX136" i="3" s="1"/>
  <c r="AY136" i="3" s="1"/>
  <c r="AZ136" i="3" s="1"/>
  <c r="BA136" i="3" s="1"/>
  <c r="BB136" i="3" s="1"/>
  <c r="BC136" i="3" s="1"/>
  <c r="BD136" i="3" s="1"/>
  <c r="BE136" i="3" s="1"/>
  <c r="BF136" i="3" s="1"/>
  <c r="BG136" i="3" s="1"/>
  <c r="BH136" i="3" s="1"/>
  <c r="BI136" i="3" s="1"/>
  <c r="N141" i="3"/>
  <c r="O141" i="3" s="1"/>
  <c r="P141" i="3" s="1"/>
  <c r="Q141" i="3" s="1"/>
  <c r="R141" i="3" s="1"/>
  <c r="S141" i="3" s="1"/>
  <c r="T141" i="3" s="1"/>
  <c r="U141" i="3" s="1"/>
  <c r="V141" i="3" s="1"/>
  <c r="W141" i="3" s="1"/>
  <c r="X141" i="3" s="1"/>
  <c r="Y141" i="3" s="1"/>
  <c r="Z141" i="3" s="1"/>
  <c r="AA141" i="3" s="1"/>
  <c r="AB141" i="3" s="1"/>
  <c r="AC141" i="3" s="1"/>
  <c r="AD141" i="3" s="1"/>
  <c r="AE141" i="3" s="1"/>
  <c r="AF141" i="3" s="1"/>
  <c r="AG141" i="3" s="1"/>
  <c r="AH141" i="3" s="1"/>
  <c r="AI141" i="3" s="1"/>
  <c r="AJ141" i="3" s="1"/>
  <c r="AK141" i="3" s="1"/>
  <c r="AL141" i="3" s="1"/>
  <c r="AM141" i="3" s="1"/>
  <c r="AN141" i="3" s="1"/>
  <c r="AO141" i="3" s="1"/>
  <c r="AP141" i="3" s="1"/>
  <c r="AQ141" i="3" s="1"/>
  <c r="AR141" i="3" s="1"/>
  <c r="AS141" i="3" s="1"/>
  <c r="AT141" i="3" s="1"/>
  <c r="AU141" i="3" s="1"/>
  <c r="AV141" i="3" s="1"/>
  <c r="AW141" i="3" s="1"/>
  <c r="AX141" i="3" s="1"/>
  <c r="AY141" i="3" s="1"/>
  <c r="AZ141" i="3" s="1"/>
  <c r="BA141" i="3" s="1"/>
  <c r="BB141" i="3" s="1"/>
  <c r="BC141" i="3" s="1"/>
  <c r="BD141" i="3" s="1"/>
  <c r="BE141" i="3" s="1"/>
  <c r="BF141" i="3" s="1"/>
  <c r="BG141" i="3" s="1"/>
  <c r="BH141" i="3" s="1"/>
  <c r="BI141" i="3" s="1"/>
  <c r="N142" i="3"/>
  <c r="N143" i="3" s="1"/>
  <c r="O143" i="3" s="1"/>
  <c r="P143" i="3" s="1"/>
  <c r="Q143" i="3" s="1"/>
  <c r="R143" i="3" s="1"/>
  <c r="S143" i="3" s="1"/>
  <c r="T143" i="3" s="1"/>
  <c r="U143" i="3" s="1"/>
  <c r="V143" i="3" s="1"/>
  <c r="W143" i="3" s="1"/>
  <c r="X143" i="3" s="1"/>
  <c r="Y143" i="3" s="1"/>
  <c r="Z143" i="3" s="1"/>
  <c r="AA143" i="3" s="1"/>
  <c r="AB143" i="3" s="1"/>
  <c r="AC143" i="3" s="1"/>
  <c r="AD143" i="3" s="1"/>
  <c r="AE143" i="3" s="1"/>
  <c r="AF143" i="3" s="1"/>
  <c r="AG143" i="3" s="1"/>
  <c r="AH143" i="3" s="1"/>
  <c r="AI143" i="3" s="1"/>
  <c r="AJ143" i="3" s="1"/>
  <c r="AK143" i="3" s="1"/>
  <c r="AL143" i="3" s="1"/>
  <c r="AM143" i="3" s="1"/>
  <c r="AN143" i="3" s="1"/>
  <c r="AO143" i="3" s="1"/>
  <c r="AP143" i="3" s="1"/>
  <c r="AQ143" i="3" s="1"/>
  <c r="AR143" i="3" s="1"/>
  <c r="AS143" i="3" s="1"/>
  <c r="AT143" i="3" s="1"/>
  <c r="AU143" i="3" s="1"/>
  <c r="AV143" i="3" s="1"/>
  <c r="AW143" i="3" s="1"/>
  <c r="AX143" i="3" s="1"/>
  <c r="AY143" i="3" s="1"/>
  <c r="AZ143" i="3" s="1"/>
  <c r="BA143" i="3" s="1"/>
  <c r="BB143" i="3" s="1"/>
  <c r="BC143" i="3" s="1"/>
  <c r="BD143" i="3" s="1"/>
  <c r="BE143" i="3" s="1"/>
  <c r="BF143" i="3" s="1"/>
  <c r="BG143" i="3" s="1"/>
  <c r="BH143" i="3" s="1"/>
  <c r="BI143" i="3" s="1"/>
  <c r="H290" i="3"/>
  <c r="M295" i="3" s="1"/>
  <c r="BJ204" i="3"/>
  <c r="BJ202" i="3"/>
  <c r="BJ196" i="3"/>
  <c r="BJ198" i="3"/>
  <c r="BJ200" i="3"/>
  <c r="BJ194" i="3"/>
  <c r="H312" i="3"/>
  <c r="Z314" i="3" s="1"/>
  <c r="L313" i="3"/>
  <c r="M313" i="3" s="1"/>
  <c r="N313" i="3" s="1"/>
  <c r="O313" i="3" s="1"/>
  <c r="P313" i="3" s="1"/>
  <c r="Q313" i="3" s="1"/>
  <c r="R313" i="3" s="1"/>
  <c r="S313" i="3" s="1"/>
  <c r="T313" i="3" s="1"/>
  <c r="U313" i="3" s="1"/>
  <c r="V313" i="3" s="1"/>
  <c r="W313" i="3" s="1"/>
  <c r="X313" i="3" s="1"/>
  <c r="Y313" i="3" s="1"/>
  <c r="Z313" i="3" s="1"/>
  <c r="AA313" i="3" s="1"/>
  <c r="AB313" i="3" s="1"/>
  <c r="AC313" i="3" s="1"/>
  <c r="AD313" i="3" s="1"/>
  <c r="AE313" i="3" s="1"/>
  <c r="AF313" i="3" s="1"/>
  <c r="AG313" i="3" s="1"/>
  <c r="AH313" i="3" s="1"/>
  <c r="AI313" i="3" s="1"/>
  <c r="AJ313" i="3" s="1"/>
  <c r="AK313" i="3" s="1"/>
  <c r="AL313" i="3" s="1"/>
  <c r="AM313" i="3" s="1"/>
  <c r="AN313" i="3" s="1"/>
  <c r="AO313" i="3" s="1"/>
  <c r="AP313" i="3" s="1"/>
  <c r="AQ313" i="3" s="1"/>
  <c r="AR313" i="3" s="1"/>
  <c r="AS313" i="3" s="1"/>
  <c r="AT313" i="3" s="1"/>
  <c r="AU313" i="3" s="1"/>
  <c r="AV313" i="3" s="1"/>
  <c r="AW313" i="3" s="1"/>
  <c r="AX313" i="3" s="1"/>
  <c r="AY313" i="3" s="1"/>
  <c r="AZ313" i="3" s="1"/>
  <c r="BA313" i="3" s="1"/>
  <c r="BB313" i="3" s="1"/>
  <c r="BC313" i="3" s="1"/>
  <c r="BD313" i="3" s="1"/>
  <c r="BE313" i="3" s="1"/>
  <c r="BF313" i="3" s="1"/>
  <c r="BG313" i="3" s="1"/>
  <c r="BH313" i="3" s="1"/>
  <c r="BI313" i="3" s="1"/>
  <c r="I307" i="3"/>
  <c r="G309" i="3"/>
  <c r="G290" i="3"/>
  <c r="S295" i="3"/>
  <c r="Z295" i="3"/>
  <c r="BE295" i="3"/>
  <c r="W295" i="3"/>
  <c r="O295" i="3"/>
  <c r="AH295" i="3"/>
  <c r="AB295" i="3"/>
  <c r="AE295" i="3"/>
  <c r="T295" i="3"/>
  <c r="AF295" i="3"/>
  <c r="BB295" i="3"/>
  <c r="U295" i="3"/>
  <c r="X295" i="3"/>
  <c r="AT295" i="3"/>
  <c r="AY295" i="3"/>
  <c r="P295" i="3"/>
  <c r="AL295" i="3"/>
  <c r="AX295" i="3"/>
  <c r="AI295" i="3"/>
  <c r="AD295" i="3"/>
  <c r="AW295" i="3"/>
  <c r="AG295" i="3"/>
  <c r="BF295" i="3"/>
  <c r="AQ295" i="3"/>
  <c r="V295" i="3"/>
  <c r="BA295" i="3"/>
  <c r="BH295" i="3"/>
  <c r="BD295" i="3"/>
  <c r="AO295" i="3"/>
  <c r="AP295" i="3"/>
  <c r="N295" i="3"/>
  <c r="AS295" i="3"/>
  <c r="AZ295" i="3"/>
  <c r="AV295" i="3"/>
  <c r="BC295" i="3"/>
  <c r="Q295" i="3"/>
  <c r="AA295" i="3"/>
  <c r="AK295" i="3"/>
  <c r="AR295" i="3"/>
  <c r="AN295" i="3"/>
  <c r="AU295" i="3"/>
  <c r="L295" i="3"/>
  <c r="L296" i="3" s="1"/>
  <c r="R295" i="3"/>
  <c r="AC295" i="3"/>
  <c r="BJ163" i="3"/>
  <c r="BJ157" i="3"/>
  <c r="BJ167" i="3"/>
  <c r="BJ159" i="3"/>
  <c r="BJ149" i="3"/>
  <c r="BJ161" i="3"/>
  <c r="BJ165" i="3"/>
  <c r="BJ155" i="3"/>
  <c r="BJ271" i="3"/>
  <c r="G271" i="3"/>
  <c r="G270" i="3"/>
  <c r="F270" i="3"/>
  <c r="D270" i="3"/>
  <c r="BJ268" i="3"/>
  <c r="N96" i="3"/>
  <c r="N110" i="3" s="1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E110" i="3" s="1"/>
  <c r="AF96" i="3"/>
  <c r="AF106" i="3" s="1"/>
  <c r="AG96" i="3"/>
  <c r="AG114" i="3" s="1"/>
  <c r="AH96" i="3"/>
  <c r="AH110" i="3" s="1"/>
  <c r="AI96" i="3"/>
  <c r="M96" i="3"/>
  <c r="M106" i="3" s="1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M105" i="3"/>
  <c r="M104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M100" i="3"/>
  <c r="N97" i="3"/>
  <c r="N115" i="3" s="1"/>
  <c r="O97" i="3"/>
  <c r="O115" i="3" s="1"/>
  <c r="P97" i="3"/>
  <c r="P111" i="3" s="1"/>
  <c r="Q97" i="3"/>
  <c r="Q101" i="3" s="1"/>
  <c r="R97" i="3"/>
  <c r="R101" i="3" s="1"/>
  <c r="S97" i="3"/>
  <c r="S101" i="3" s="1"/>
  <c r="T97" i="3"/>
  <c r="T101" i="3" s="1"/>
  <c r="U97" i="3"/>
  <c r="U101" i="3" s="1"/>
  <c r="V97" i="3"/>
  <c r="V101" i="3" s="1"/>
  <c r="W97" i="3"/>
  <c r="W101" i="3" s="1"/>
  <c r="X97" i="3"/>
  <c r="X101" i="3" s="1"/>
  <c r="Y97" i="3"/>
  <c r="Y101" i="3" s="1"/>
  <c r="Z97" i="3"/>
  <c r="Z101" i="3" s="1"/>
  <c r="AA97" i="3"/>
  <c r="AA101" i="3" s="1"/>
  <c r="AB97" i="3"/>
  <c r="AB101" i="3" s="1"/>
  <c r="AC97" i="3"/>
  <c r="AC101" i="3" s="1"/>
  <c r="AD97" i="3"/>
  <c r="AD101" i="3" s="1"/>
  <c r="AE97" i="3"/>
  <c r="AE101" i="3" s="1"/>
  <c r="AF97" i="3"/>
  <c r="AF101" i="3" s="1"/>
  <c r="AG97" i="3"/>
  <c r="AG101" i="3" s="1"/>
  <c r="AH97" i="3"/>
  <c r="AH101" i="3" s="1"/>
  <c r="AI97" i="3"/>
  <c r="AI101" i="3" s="1"/>
  <c r="M97" i="3"/>
  <c r="M115" i="3" s="1"/>
  <c r="L97" i="3"/>
  <c r="L111" i="3" s="1"/>
  <c r="G107" i="3"/>
  <c r="C107" i="3"/>
  <c r="C39" i="3"/>
  <c r="BB12" i="5"/>
  <c r="C253" i="3"/>
  <c r="C251" i="3"/>
  <c r="C249" i="3"/>
  <c r="C247" i="3"/>
  <c r="G247" i="3"/>
  <c r="G241" i="3"/>
  <c r="C241" i="3"/>
  <c r="G255" i="3"/>
  <c r="B253" i="3"/>
  <c r="A253" i="3"/>
  <c r="B251" i="3"/>
  <c r="A251" i="3"/>
  <c r="B249" i="3"/>
  <c r="A249" i="3"/>
  <c r="B247" i="3"/>
  <c r="A247" i="3"/>
  <c r="B245" i="3"/>
  <c r="A245" i="3"/>
  <c r="B243" i="3"/>
  <c r="A243" i="3"/>
  <c r="B241" i="3"/>
  <c r="A241" i="3"/>
  <c r="B239" i="3"/>
  <c r="A239" i="3"/>
  <c r="F255" i="3"/>
  <c r="F247" i="3"/>
  <c r="F241" i="3"/>
  <c r="C239" i="3"/>
  <c r="C237" i="3"/>
  <c r="L147" i="1"/>
  <c r="K147" i="1"/>
  <c r="G147" i="1"/>
  <c r="H147" i="1" s="1"/>
  <c r="F253" i="3" s="1"/>
  <c r="L131" i="1"/>
  <c r="K131" i="1"/>
  <c r="G131" i="1"/>
  <c r="H131" i="1" s="1"/>
  <c r="F237" i="3" s="1"/>
  <c r="L133" i="1"/>
  <c r="K133" i="1"/>
  <c r="G133" i="1"/>
  <c r="H133" i="1" s="1"/>
  <c r="F239" i="3" s="1"/>
  <c r="B237" i="3"/>
  <c r="A237" i="3"/>
  <c r="B236" i="3"/>
  <c r="C255" i="3"/>
  <c r="E253" i="3"/>
  <c r="D253" i="3"/>
  <c r="E251" i="3"/>
  <c r="D251" i="3"/>
  <c r="E249" i="3"/>
  <c r="D249" i="3"/>
  <c r="E247" i="3"/>
  <c r="D247" i="3"/>
  <c r="E245" i="3"/>
  <c r="D245" i="3"/>
  <c r="C245" i="3"/>
  <c r="E243" i="3"/>
  <c r="D243" i="3"/>
  <c r="C243" i="3"/>
  <c r="E241" i="3"/>
  <c r="D241" i="3"/>
  <c r="E239" i="3"/>
  <c r="BJ237" i="3"/>
  <c r="E237" i="3"/>
  <c r="D237" i="3"/>
  <c r="BJ236" i="3"/>
  <c r="C221" i="3"/>
  <c r="B221" i="3"/>
  <c r="B222" i="3"/>
  <c r="BJ222" i="3"/>
  <c r="BJ221" i="3"/>
  <c r="B220" i="3"/>
  <c r="BJ220" i="3"/>
  <c r="E190" i="3"/>
  <c r="G190" i="3" s="1"/>
  <c r="F190" i="3"/>
  <c r="C190" i="3"/>
  <c r="C200" i="3"/>
  <c r="C192" i="3"/>
  <c r="G206" i="3"/>
  <c r="C206" i="3"/>
  <c r="H206" i="3" s="1"/>
  <c r="C204" i="3"/>
  <c r="B204" i="3"/>
  <c r="A204" i="3"/>
  <c r="C202" i="3"/>
  <c r="B202" i="3"/>
  <c r="A202" i="3"/>
  <c r="B200" i="3"/>
  <c r="A200" i="3"/>
  <c r="C198" i="3"/>
  <c r="B198" i="3"/>
  <c r="A198" i="3"/>
  <c r="C196" i="3"/>
  <c r="B196" i="3"/>
  <c r="A196" i="3"/>
  <c r="C194" i="3"/>
  <c r="B194" i="3"/>
  <c r="A194" i="3"/>
  <c r="B192" i="3"/>
  <c r="A192" i="3"/>
  <c r="B190" i="3"/>
  <c r="A190" i="3"/>
  <c r="C188" i="3"/>
  <c r="B188" i="3"/>
  <c r="A188" i="3"/>
  <c r="B187" i="3"/>
  <c r="BJ188" i="3"/>
  <c r="BJ187" i="3"/>
  <c r="G173" i="3"/>
  <c r="C173" i="3"/>
  <c r="H173" i="3" s="1"/>
  <c r="C171" i="3"/>
  <c r="F171" i="3"/>
  <c r="E171" i="3"/>
  <c r="G171" i="3" s="1"/>
  <c r="E169" i="3"/>
  <c r="C157" i="3"/>
  <c r="C155" i="3"/>
  <c r="C149" i="3"/>
  <c r="C147" i="3"/>
  <c r="C153" i="3"/>
  <c r="E151" i="3"/>
  <c r="C167" i="3"/>
  <c r="C165" i="3"/>
  <c r="C163" i="3"/>
  <c r="C161" i="3"/>
  <c r="C159" i="3"/>
  <c r="B171" i="3"/>
  <c r="B169" i="3"/>
  <c r="B167" i="3"/>
  <c r="B165" i="3"/>
  <c r="B163" i="3"/>
  <c r="B161" i="3"/>
  <c r="B159" i="3"/>
  <c r="B157" i="3"/>
  <c r="B155" i="3"/>
  <c r="B153" i="3"/>
  <c r="B151" i="3"/>
  <c r="B149" i="3"/>
  <c r="B147" i="3"/>
  <c r="A171" i="3"/>
  <c r="A169" i="3"/>
  <c r="A167" i="3"/>
  <c r="A165" i="3"/>
  <c r="A163" i="3"/>
  <c r="A161" i="3"/>
  <c r="A159" i="3"/>
  <c r="A157" i="3"/>
  <c r="A155" i="3"/>
  <c r="A153" i="3"/>
  <c r="A151" i="3"/>
  <c r="A149" i="3"/>
  <c r="A147" i="3"/>
  <c r="B146" i="3"/>
  <c r="E153" i="3"/>
  <c r="BJ147" i="3"/>
  <c r="BJ146" i="3"/>
  <c r="G115" i="3"/>
  <c r="B114" i="3"/>
  <c r="G111" i="3"/>
  <c r="C114" i="3"/>
  <c r="C110" i="3"/>
  <c r="B110" i="3"/>
  <c r="C115" i="3"/>
  <c r="C111" i="3"/>
  <c r="G101" i="3"/>
  <c r="C100" i="3"/>
  <c r="B100" i="3"/>
  <c r="C101" i="3"/>
  <c r="A100" i="3"/>
  <c r="F130" i="3"/>
  <c r="F129" i="3" s="1"/>
  <c r="C130" i="3"/>
  <c r="B129" i="3"/>
  <c r="BJ129" i="3"/>
  <c r="B113" i="3"/>
  <c r="A113" i="3"/>
  <c r="B109" i="3"/>
  <c r="A109" i="3"/>
  <c r="E103" i="3"/>
  <c r="C106" i="3"/>
  <c r="C105" i="3"/>
  <c r="C104" i="3"/>
  <c r="E105" i="3"/>
  <c r="E104" i="3"/>
  <c r="D105" i="3"/>
  <c r="D104" i="3"/>
  <c r="AA106" i="3" l="1"/>
  <c r="AA123" i="3" s="1"/>
  <c r="AA125" i="3" s="1"/>
  <c r="S106" i="3"/>
  <c r="S123" i="3" s="1"/>
  <c r="S125" i="3" s="1"/>
  <c r="S118" i="3"/>
  <c r="S120" i="3" s="1"/>
  <c r="T114" i="3"/>
  <c r="Z106" i="3"/>
  <c r="Z118" i="3" s="1"/>
  <c r="Z120" i="3" s="1"/>
  <c r="R106" i="3"/>
  <c r="R118" i="3" s="1"/>
  <c r="AB114" i="3"/>
  <c r="Y106" i="3"/>
  <c r="Y118" i="3"/>
  <c r="Y120" i="3" s="1"/>
  <c r="Q106" i="3"/>
  <c r="Q118" i="3" s="1"/>
  <c r="Q120" i="3" s="1"/>
  <c r="P106" i="3"/>
  <c r="P123" i="3" s="1"/>
  <c r="P125" i="3" s="1"/>
  <c r="P118" i="3"/>
  <c r="W110" i="3"/>
  <c r="W118" i="3"/>
  <c r="W120" i="3" s="1"/>
  <c r="O110" i="3"/>
  <c r="O123" i="3"/>
  <c r="AD110" i="3"/>
  <c r="V110" i="3"/>
  <c r="X106" i="3"/>
  <c r="AC114" i="3"/>
  <c r="AC123" i="3"/>
  <c r="AC125" i="3" s="1"/>
  <c r="AC118" i="3"/>
  <c r="AC120" i="3" s="1"/>
  <c r="U114" i="3"/>
  <c r="AM295" i="3"/>
  <c r="BI295" i="3"/>
  <c r="Y295" i="3"/>
  <c r="BG295" i="3"/>
  <c r="U314" i="3"/>
  <c r="AO314" i="3"/>
  <c r="AP314" i="3"/>
  <c r="AS314" i="3"/>
  <c r="O314" i="3"/>
  <c r="BG314" i="3"/>
  <c r="AK314" i="3"/>
  <c r="M314" i="3"/>
  <c r="AJ295" i="3"/>
  <c r="H289" i="3"/>
  <c r="BA314" i="3"/>
  <c r="AH314" i="3"/>
  <c r="L314" i="3"/>
  <c r="L315" i="3" s="1"/>
  <c r="AM314" i="3"/>
  <c r="T314" i="3"/>
  <c r="AB314" i="3"/>
  <c r="BI314" i="3"/>
  <c r="Q314" i="3"/>
  <c r="AY314" i="3"/>
  <c r="J306" i="3"/>
  <c r="J312" i="3" s="1"/>
  <c r="W314" i="3"/>
  <c r="AG314" i="3"/>
  <c r="J307" i="3"/>
  <c r="AN314" i="3"/>
  <c r="AD314" i="3"/>
  <c r="BF314" i="3"/>
  <c r="BD314" i="3"/>
  <c r="AV314" i="3"/>
  <c r="AL314" i="3"/>
  <c r="J309" i="3"/>
  <c r="AF314" i="3"/>
  <c r="AE314" i="3"/>
  <c r="X314" i="3"/>
  <c r="AI314" i="3"/>
  <c r="R314" i="3"/>
  <c r="Y314" i="3"/>
  <c r="P314" i="3"/>
  <c r="AC314" i="3"/>
  <c r="BH314" i="3"/>
  <c r="AZ314" i="3"/>
  <c r="S314" i="3"/>
  <c r="BB314" i="3"/>
  <c r="BC314" i="3"/>
  <c r="AA314" i="3"/>
  <c r="AR314" i="3"/>
  <c r="AQ314" i="3"/>
  <c r="AT314" i="3"/>
  <c r="AX314" i="3"/>
  <c r="BE314" i="3"/>
  <c r="AU314" i="3"/>
  <c r="AW314" i="3"/>
  <c r="N314" i="3"/>
  <c r="AJ314" i="3"/>
  <c r="V314" i="3"/>
  <c r="G306" i="3"/>
  <c r="I290" i="3"/>
  <c r="G292" i="3"/>
  <c r="G289" i="3" s="1"/>
  <c r="M296" i="3"/>
  <c r="N296" i="3" s="1"/>
  <c r="O296" i="3" s="1"/>
  <c r="P296" i="3" s="1"/>
  <c r="Q296" i="3" s="1"/>
  <c r="R296" i="3" s="1"/>
  <c r="S296" i="3" s="1"/>
  <c r="T296" i="3" s="1"/>
  <c r="U296" i="3" s="1"/>
  <c r="V296" i="3" s="1"/>
  <c r="W296" i="3" s="1"/>
  <c r="X296" i="3" s="1"/>
  <c r="Y296" i="3" s="1"/>
  <c r="Z296" i="3" s="1"/>
  <c r="AA296" i="3" s="1"/>
  <c r="AB296" i="3" s="1"/>
  <c r="AC296" i="3" s="1"/>
  <c r="AD296" i="3" s="1"/>
  <c r="AE296" i="3" s="1"/>
  <c r="AF296" i="3" s="1"/>
  <c r="AG296" i="3" s="1"/>
  <c r="AH296" i="3" s="1"/>
  <c r="AI296" i="3" s="1"/>
  <c r="G268" i="3"/>
  <c r="O101" i="3"/>
  <c r="N111" i="3"/>
  <c r="H255" i="3"/>
  <c r="U106" i="3"/>
  <c r="U123" i="3" s="1"/>
  <c r="U125" i="3" s="1"/>
  <c r="T106" i="3"/>
  <c r="T123" i="3" s="1"/>
  <c r="T125" i="3" s="1"/>
  <c r="M110" i="3"/>
  <c r="AC110" i="3"/>
  <c r="U107" i="3"/>
  <c r="AB110" i="3"/>
  <c r="N107" i="3"/>
  <c r="U110" i="3"/>
  <c r="U118" i="3" s="1"/>
  <c r="U120" i="3" s="1"/>
  <c r="AC106" i="3"/>
  <c r="T110" i="3"/>
  <c r="AB106" i="3"/>
  <c r="AB123" i="3" s="1"/>
  <c r="AB125" i="3" s="1"/>
  <c r="W106" i="3"/>
  <c r="W123" i="3" s="1"/>
  <c r="W125" i="3" s="1"/>
  <c r="L115" i="3"/>
  <c r="P101" i="3"/>
  <c r="V106" i="3"/>
  <c r="V123" i="3" s="1"/>
  <c r="V125" i="3" s="1"/>
  <c r="AA110" i="3"/>
  <c r="AA118" i="3" s="1"/>
  <c r="AA120" i="3" s="1"/>
  <c r="AA114" i="3"/>
  <c r="N101" i="3"/>
  <c r="T107" i="3"/>
  <c r="T111" i="3"/>
  <c r="AE106" i="3"/>
  <c r="O106" i="3"/>
  <c r="O118" i="3" s="1"/>
  <c r="S110" i="3"/>
  <c r="M111" i="3"/>
  <c r="O107" i="3"/>
  <c r="O111" i="3"/>
  <c r="AD106" i="3"/>
  <c r="AD123" i="3" s="1"/>
  <c r="AD125" i="3" s="1"/>
  <c r="N106" i="3"/>
  <c r="M114" i="3"/>
  <c r="BJ100" i="3"/>
  <c r="S114" i="3"/>
  <c r="H268" i="3"/>
  <c r="N283" i="3"/>
  <c r="M283" i="3"/>
  <c r="L283" i="3"/>
  <c r="F268" i="3"/>
  <c r="Q114" i="3"/>
  <c r="Z114" i="3"/>
  <c r="S115" i="3"/>
  <c r="Y114" i="3"/>
  <c r="R115" i="3"/>
  <c r="Z110" i="3"/>
  <c r="R110" i="3"/>
  <c r="P114" i="3"/>
  <c r="M101" i="3"/>
  <c r="S107" i="3"/>
  <c r="S111" i="3"/>
  <c r="Q115" i="3"/>
  <c r="AG110" i="3"/>
  <c r="Y110" i="3"/>
  <c r="Y123" i="3" s="1"/>
  <c r="Y125" i="3" s="1"/>
  <c r="Q110" i="3"/>
  <c r="AE114" i="3"/>
  <c r="W114" i="3"/>
  <c r="O114" i="3"/>
  <c r="R114" i="3"/>
  <c r="I107" i="3"/>
  <c r="L107" i="3"/>
  <c r="R107" i="3"/>
  <c r="R111" i="3"/>
  <c r="P115" i="3"/>
  <c r="AF110" i="3"/>
  <c r="X110" i="3"/>
  <c r="P110" i="3"/>
  <c r="AD114" i="3"/>
  <c r="V114" i="3"/>
  <c r="N114" i="3"/>
  <c r="AH114" i="3"/>
  <c r="AF114" i="3"/>
  <c r="L101" i="3"/>
  <c r="M107" i="3"/>
  <c r="Q107" i="3"/>
  <c r="Q111" i="3"/>
  <c r="AG106" i="3"/>
  <c r="X114" i="3"/>
  <c r="X118" i="3" s="1"/>
  <c r="X120" i="3" s="1"/>
  <c r="P107" i="3"/>
  <c r="I255" i="3"/>
  <c r="H239" i="3"/>
  <c r="H253" i="3"/>
  <c r="H247" i="3"/>
  <c r="I247" i="3"/>
  <c r="H241" i="3"/>
  <c r="I241" i="3"/>
  <c r="H237" i="3"/>
  <c r="I147" i="1"/>
  <c r="G253" i="3" s="1"/>
  <c r="I253" i="3" s="1"/>
  <c r="M131" i="1"/>
  <c r="I131" i="1"/>
  <c r="G237" i="3" s="1"/>
  <c r="M133" i="1"/>
  <c r="I133" i="1"/>
  <c r="G239" i="3" s="1"/>
  <c r="I239" i="3" s="1"/>
  <c r="I206" i="3"/>
  <c r="H190" i="3"/>
  <c r="I190" i="3"/>
  <c r="I173" i="3"/>
  <c r="H171" i="3"/>
  <c r="I171" i="3"/>
  <c r="I101" i="3"/>
  <c r="I115" i="3"/>
  <c r="I111" i="3"/>
  <c r="G130" i="3"/>
  <c r="G132" i="3" s="1"/>
  <c r="H130" i="3"/>
  <c r="O120" i="3" l="1"/>
  <c r="R120" i="3"/>
  <c r="AB118" i="3"/>
  <c r="AB120" i="3" s="1"/>
  <c r="O125" i="3"/>
  <c r="T118" i="3"/>
  <c r="T120" i="3" s="1"/>
  <c r="Q123" i="3"/>
  <c r="P120" i="3"/>
  <c r="V118" i="3"/>
  <c r="V120" i="3" s="1"/>
  <c r="R123" i="3"/>
  <c r="R125" i="3" s="1"/>
  <c r="X123" i="3"/>
  <c r="X125" i="3" s="1"/>
  <c r="AD118" i="3"/>
  <c r="AD120" i="3" s="1"/>
  <c r="Z123" i="3"/>
  <c r="Z125" i="3" s="1"/>
  <c r="M315" i="3"/>
  <c r="N315" i="3" s="1"/>
  <c r="O315" i="3" s="1"/>
  <c r="P315" i="3" s="1"/>
  <c r="Q315" i="3" s="1"/>
  <c r="R315" i="3" s="1"/>
  <c r="AJ296" i="3"/>
  <c r="AK296" i="3" s="1"/>
  <c r="AL296" i="3" s="1"/>
  <c r="AM296" i="3" s="1"/>
  <c r="AN296" i="3" s="1"/>
  <c r="AO296" i="3" s="1"/>
  <c r="AP296" i="3" s="1"/>
  <c r="AQ296" i="3" s="1"/>
  <c r="AR296" i="3" s="1"/>
  <c r="AS296" i="3" s="1"/>
  <c r="AT296" i="3" s="1"/>
  <c r="AU296" i="3" s="1"/>
  <c r="AV296" i="3" s="1"/>
  <c r="AW296" i="3" s="1"/>
  <c r="AX296" i="3" s="1"/>
  <c r="AY296" i="3" s="1"/>
  <c r="AZ296" i="3" s="1"/>
  <c r="BA296" i="3" s="1"/>
  <c r="BB296" i="3" s="1"/>
  <c r="BC296" i="3" s="1"/>
  <c r="BD296" i="3" s="1"/>
  <c r="BE296" i="3" s="1"/>
  <c r="BF296" i="3" s="1"/>
  <c r="BG296" i="3" s="1"/>
  <c r="BH296" i="3" s="1"/>
  <c r="BI296" i="3" s="1"/>
  <c r="H295" i="3"/>
  <c r="J289" i="3" s="1"/>
  <c r="J295" i="3" s="1"/>
  <c r="S315" i="3"/>
  <c r="T315" i="3" s="1"/>
  <c r="U315" i="3" s="1"/>
  <c r="V315" i="3" s="1"/>
  <c r="W315" i="3" s="1"/>
  <c r="X315" i="3" s="1"/>
  <c r="Y315" i="3" s="1"/>
  <c r="Z315" i="3" s="1"/>
  <c r="AA315" i="3" s="1"/>
  <c r="AB315" i="3" s="1"/>
  <c r="AC315" i="3" s="1"/>
  <c r="AD315" i="3" s="1"/>
  <c r="AE315" i="3" s="1"/>
  <c r="AF315" i="3" s="1"/>
  <c r="AG315" i="3" s="1"/>
  <c r="AH315" i="3" s="1"/>
  <c r="AI315" i="3" s="1"/>
  <c r="AJ315" i="3" s="1"/>
  <c r="AK315" i="3" s="1"/>
  <c r="AL315" i="3" s="1"/>
  <c r="AM315" i="3" s="1"/>
  <c r="AN315" i="3" s="1"/>
  <c r="AO315" i="3" s="1"/>
  <c r="AP315" i="3" s="1"/>
  <c r="AQ315" i="3" s="1"/>
  <c r="AR315" i="3" s="1"/>
  <c r="AS315" i="3" s="1"/>
  <c r="AT315" i="3" s="1"/>
  <c r="AU315" i="3" s="1"/>
  <c r="AV315" i="3" s="1"/>
  <c r="AW315" i="3" s="1"/>
  <c r="AX315" i="3" s="1"/>
  <c r="AY315" i="3" s="1"/>
  <c r="AZ315" i="3" s="1"/>
  <c r="BA315" i="3" s="1"/>
  <c r="BB315" i="3" s="1"/>
  <c r="BC315" i="3" s="1"/>
  <c r="BD315" i="3" s="1"/>
  <c r="BE315" i="3" s="1"/>
  <c r="BF315" i="3" s="1"/>
  <c r="BG315" i="3" s="1"/>
  <c r="BH315" i="3" s="1"/>
  <c r="BI315" i="3" s="1"/>
  <c r="G129" i="3"/>
  <c r="H129" i="3"/>
  <c r="L284" i="3"/>
  <c r="M284" i="3" s="1"/>
  <c r="N284" i="3" s="1"/>
  <c r="O284" i="3" s="1"/>
  <c r="P284" i="3" s="1"/>
  <c r="Q284" i="3" s="1"/>
  <c r="R284" i="3" s="1"/>
  <c r="S284" i="3" s="1"/>
  <c r="T284" i="3" s="1"/>
  <c r="U284" i="3" s="1"/>
  <c r="V284" i="3" s="1"/>
  <c r="W284" i="3" s="1"/>
  <c r="X284" i="3" s="1"/>
  <c r="Y284" i="3" s="1"/>
  <c r="Z284" i="3" s="1"/>
  <c r="AA284" i="3" s="1"/>
  <c r="AB284" i="3" s="1"/>
  <c r="AC284" i="3" s="1"/>
  <c r="AD284" i="3" s="1"/>
  <c r="AE284" i="3" s="1"/>
  <c r="AF284" i="3" s="1"/>
  <c r="AG284" i="3" s="1"/>
  <c r="AH284" i="3" s="1"/>
  <c r="AI284" i="3" s="1"/>
  <c r="AJ284" i="3" s="1"/>
  <c r="AK284" i="3" s="1"/>
  <c r="AL284" i="3" s="1"/>
  <c r="AM284" i="3" s="1"/>
  <c r="AN284" i="3" s="1"/>
  <c r="AO284" i="3" s="1"/>
  <c r="AP284" i="3" s="1"/>
  <c r="AQ284" i="3" s="1"/>
  <c r="AR284" i="3" s="1"/>
  <c r="AS284" i="3" s="1"/>
  <c r="AT284" i="3" s="1"/>
  <c r="AU284" i="3" s="1"/>
  <c r="AV284" i="3" s="1"/>
  <c r="AW284" i="3" s="1"/>
  <c r="AX284" i="3" s="1"/>
  <c r="AY284" i="3" s="1"/>
  <c r="AZ284" i="3" s="1"/>
  <c r="BA284" i="3" s="1"/>
  <c r="BB284" i="3" s="1"/>
  <c r="BC284" i="3" s="1"/>
  <c r="BD284" i="3" s="1"/>
  <c r="BE284" i="3" s="1"/>
  <c r="BF284" i="3" s="1"/>
  <c r="BG284" i="3" s="1"/>
  <c r="BH284" i="3" s="1"/>
  <c r="BI284" i="3" s="1"/>
  <c r="L135" i="3"/>
  <c r="BJ115" i="3"/>
  <c r="BJ107" i="3"/>
  <c r="BJ111" i="3"/>
  <c r="BJ114" i="3"/>
  <c r="BJ101" i="3"/>
  <c r="BJ110" i="3"/>
  <c r="M135" i="3"/>
  <c r="Q125" i="3" l="1"/>
  <c r="J292" i="3"/>
  <c r="AZ297" i="3"/>
  <c r="Q297" i="3"/>
  <c r="AO297" i="3"/>
  <c r="AX297" i="3"/>
  <c r="Z297" i="3"/>
  <c r="AM297" i="3"/>
  <c r="W297" i="3"/>
  <c r="AY297" i="3"/>
  <c r="AT297" i="3"/>
  <c r="BA297" i="3"/>
  <c r="AC297" i="3"/>
  <c r="R297" i="3"/>
  <c r="BE297" i="3"/>
  <c r="AW297" i="3"/>
  <c r="AG297" i="3"/>
  <c r="AE297" i="3"/>
  <c r="O297" i="3"/>
  <c r="BC297" i="3"/>
  <c r="BD297" i="3"/>
  <c r="P297" i="3"/>
  <c r="AK297" i="3"/>
  <c r="X297" i="3"/>
  <c r="AJ297" i="3"/>
  <c r="AU297" i="3"/>
  <c r="U297" i="3"/>
  <c r="BG297" i="3"/>
  <c r="AR297" i="3"/>
  <c r="V297" i="3"/>
  <c r="AV297" i="3"/>
  <c r="L297" i="3"/>
  <c r="L298" i="3" s="1"/>
  <c r="T297" i="3"/>
  <c r="BF297" i="3"/>
  <c r="N297" i="3"/>
  <c r="AH297" i="3"/>
  <c r="AD297" i="3"/>
  <c r="AF297" i="3"/>
  <c r="AI297" i="3"/>
  <c r="AQ297" i="3"/>
  <c r="AL297" i="3"/>
  <c r="BH297" i="3"/>
  <c r="J290" i="3"/>
  <c r="AA297" i="3"/>
  <c r="AP297" i="3"/>
  <c r="BI297" i="3"/>
  <c r="AN297" i="3"/>
  <c r="M297" i="3"/>
  <c r="M298" i="3" s="1"/>
  <c r="N298" i="3" s="1"/>
  <c r="O298" i="3" s="1"/>
  <c r="P298" i="3" s="1"/>
  <c r="Q298" i="3" s="1"/>
  <c r="R298" i="3" s="1"/>
  <c r="S298" i="3" s="1"/>
  <c r="AS297" i="3"/>
  <c r="BB297" i="3"/>
  <c r="S297" i="3"/>
  <c r="AB297" i="3"/>
  <c r="Y297" i="3"/>
  <c r="K274" i="3"/>
  <c r="K275" i="3"/>
  <c r="AH285" i="3"/>
  <c r="AQ285" i="3"/>
  <c r="AZ285" i="3"/>
  <c r="BF285" i="3"/>
  <c r="AX285" i="3"/>
  <c r="BH285" i="3"/>
  <c r="AI285" i="3"/>
  <c r="AR285" i="3"/>
  <c r="AW285" i="3"/>
  <c r="AY285" i="3"/>
  <c r="AJ285" i="3"/>
  <c r="BD285" i="3"/>
  <c r="AN285" i="3"/>
  <c r="BG285" i="3"/>
  <c r="AP285" i="3"/>
  <c r="AV285" i="3"/>
  <c r="BE285" i="3"/>
  <c r="AO285" i="3"/>
  <c r="AG285" i="3"/>
  <c r="Y285" i="3"/>
  <c r="AS285" i="3"/>
  <c r="AU285" i="3"/>
  <c r="AF285" i="3"/>
  <c r="O285" i="3"/>
  <c r="AK285" i="3"/>
  <c r="AA285" i="3"/>
  <c r="X285" i="3"/>
  <c r="BI285" i="3"/>
  <c r="S285" i="3"/>
  <c r="BA285" i="3"/>
  <c r="BC285" i="3"/>
  <c r="W285" i="3"/>
  <c r="Q285" i="3"/>
  <c r="P285" i="3"/>
  <c r="U285" i="3"/>
  <c r="AE285" i="3"/>
  <c r="R285" i="3"/>
  <c r="AL285" i="3"/>
  <c r="V285" i="3"/>
  <c r="AB285" i="3"/>
  <c r="AC285" i="3"/>
  <c r="AD285" i="3"/>
  <c r="BB285" i="3"/>
  <c r="T285" i="3"/>
  <c r="Z285" i="3"/>
  <c r="AM285" i="3"/>
  <c r="AT285" i="3"/>
  <c r="K268" i="3"/>
  <c r="K283" i="3" s="1"/>
  <c r="M285" i="3"/>
  <c r="K271" i="3"/>
  <c r="K270" i="3"/>
  <c r="N285" i="3"/>
  <c r="L285" i="3"/>
  <c r="L286" i="3" s="1"/>
  <c r="L136" i="3"/>
  <c r="M136" i="3" s="1"/>
  <c r="H135" i="3"/>
  <c r="T298" i="3" l="1"/>
  <c r="U298" i="3" s="1"/>
  <c r="V298" i="3" s="1"/>
  <c r="W298" i="3" s="1"/>
  <c r="X298" i="3" s="1"/>
  <c r="Y298" i="3" s="1"/>
  <c r="Z298" i="3" s="1"/>
  <c r="AA298" i="3" s="1"/>
  <c r="AB298" i="3" s="1"/>
  <c r="AC298" i="3" s="1"/>
  <c r="AD298" i="3" s="1"/>
  <c r="AE298" i="3" s="1"/>
  <c r="AF298" i="3" s="1"/>
  <c r="AG298" i="3" s="1"/>
  <c r="AH298" i="3" s="1"/>
  <c r="AI298" i="3" s="1"/>
  <c r="AJ298" i="3" s="1"/>
  <c r="AK298" i="3" s="1"/>
  <c r="AL298" i="3" s="1"/>
  <c r="AM298" i="3" s="1"/>
  <c r="AN298" i="3" s="1"/>
  <c r="AO298" i="3" s="1"/>
  <c r="AP298" i="3" s="1"/>
  <c r="AQ298" i="3" s="1"/>
  <c r="AR298" i="3" s="1"/>
  <c r="AS298" i="3" s="1"/>
  <c r="AT298" i="3" s="1"/>
  <c r="AU298" i="3" s="1"/>
  <c r="AV298" i="3" s="1"/>
  <c r="AW298" i="3" s="1"/>
  <c r="AX298" i="3" s="1"/>
  <c r="AY298" i="3" s="1"/>
  <c r="AZ298" i="3" s="1"/>
  <c r="BA298" i="3" s="1"/>
  <c r="BB298" i="3" s="1"/>
  <c r="BC298" i="3" s="1"/>
  <c r="BD298" i="3" s="1"/>
  <c r="BE298" i="3" s="1"/>
  <c r="BF298" i="3" s="1"/>
  <c r="BG298" i="3" s="1"/>
  <c r="BH298" i="3" s="1"/>
  <c r="BI298" i="3" s="1"/>
  <c r="J132" i="3"/>
  <c r="J130" i="3"/>
  <c r="J129" i="3" s="1"/>
  <c r="J135" i="3" s="1"/>
  <c r="M286" i="3"/>
  <c r="N286" i="3" s="1"/>
  <c r="O286" i="3" s="1"/>
  <c r="P286" i="3" s="1"/>
  <c r="Q286" i="3" s="1"/>
  <c r="R286" i="3" s="1"/>
  <c r="S286" i="3" s="1"/>
  <c r="T286" i="3" s="1"/>
  <c r="U286" i="3" s="1"/>
  <c r="V286" i="3" s="1"/>
  <c r="W286" i="3" s="1"/>
  <c r="X286" i="3" s="1"/>
  <c r="Y286" i="3" s="1"/>
  <c r="Z286" i="3" s="1"/>
  <c r="AA286" i="3" s="1"/>
  <c r="AB286" i="3" s="1"/>
  <c r="AC286" i="3" s="1"/>
  <c r="AD286" i="3" s="1"/>
  <c r="AE286" i="3" s="1"/>
  <c r="AF286" i="3" s="1"/>
  <c r="AG286" i="3" s="1"/>
  <c r="AH286" i="3" s="1"/>
  <c r="AI286" i="3" s="1"/>
  <c r="AJ286" i="3" s="1"/>
  <c r="AK286" i="3" s="1"/>
  <c r="AL286" i="3" s="1"/>
  <c r="AM286" i="3" s="1"/>
  <c r="AN286" i="3" s="1"/>
  <c r="AO286" i="3" s="1"/>
  <c r="AP286" i="3" s="1"/>
  <c r="AQ286" i="3" s="1"/>
  <c r="AR286" i="3" s="1"/>
  <c r="AS286" i="3" s="1"/>
  <c r="AT286" i="3" s="1"/>
  <c r="AU286" i="3" s="1"/>
  <c r="AV286" i="3" s="1"/>
  <c r="AW286" i="3" s="1"/>
  <c r="AX286" i="3" s="1"/>
  <c r="AY286" i="3" s="1"/>
  <c r="AZ286" i="3" s="1"/>
  <c r="BA286" i="3" s="1"/>
  <c r="BB286" i="3" s="1"/>
  <c r="BC286" i="3" s="1"/>
  <c r="BD286" i="3" s="1"/>
  <c r="BE286" i="3" s="1"/>
  <c r="BF286" i="3" s="1"/>
  <c r="BG286" i="3" s="1"/>
  <c r="BH286" i="3" s="1"/>
  <c r="BI286" i="3" s="1"/>
  <c r="L137" i="3"/>
  <c r="L138" i="3" s="1"/>
  <c r="M137" i="3"/>
  <c r="B106" i="3" l="1"/>
  <c r="B105" i="3"/>
  <c r="B104" i="3"/>
  <c r="A103" i="3"/>
  <c r="A99" i="3"/>
  <c r="F97" i="3"/>
  <c r="G97" i="3" s="1"/>
  <c r="C97" i="3"/>
  <c r="C96" i="3"/>
  <c r="B96" i="3"/>
  <c r="B95" i="3"/>
  <c r="A95" i="3"/>
  <c r="B94" i="3"/>
  <c r="BJ106" i="3"/>
  <c r="BJ105" i="3"/>
  <c r="BJ104" i="3"/>
  <c r="A104" i="3"/>
  <c r="BJ97" i="3"/>
  <c r="BJ96" i="3"/>
  <c r="A96" i="3"/>
  <c r="BJ95" i="3"/>
  <c r="BJ94" i="3"/>
  <c r="B12" i="3"/>
  <c r="BJ39" i="3"/>
  <c r="BJ38" i="3"/>
  <c r="BJ37" i="3"/>
  <c r="BJ36" i="3"/>
  <c r="BJ35" i="3"/>
  <c r="BJ34" i="3"/>
  <c r="BJ33" i="3"/>
  <c r="BJ32" i="3"/>
  <c r="BJ31" i="3"/>
  <c r="BJ30" i="3"/>
  <c r="BJ29" i="3"/>
  <c r="BJ28" i="3"/>
  <c r="BJ27" i="3"/>
  <c r="BJ26" i="3"/>
  <c r="BJ25" i="3"/>
  <c r="BJ24" i="3"/>
  <c r="BJ23" i="3"/>
  <c r="BJ22" i="3"/>
  <c r="BJ21" i="3"/>
  <c r="BJ20" i="3"/>
  <c r="BJ19" i="3"/>
  <c r="BJ18" i="3"/>
  <c r="BJ17" i="3"/>
  <c r="BJ16" i="3"/>
  <c r="BJ15" i="3"/>
  <c r="BJ14" i="3"/>
  <c r="BJ13" i="3"/>
  <c r="BJ12" i="3"/>
  <c r="BJ11" i="3"/>
  <c r="BJ66" i="3"/>
  <c r="BJ65" i="3"/>
  <c r="BJ64" i="3"/>
  <c r="BJ63" i="3"/>
  <c r="BJ62" i="3"/>
  <c r="BJ61" i="3"/>
  <c r="BJ60" i="3"/>
  <c r="BJ59" i="3"/>
  <c r="BJ58" i="3"/>
  <c r="BJ57" i="3"/>
  <c r="BJ56" i="3"/>
  <c r="BJ55" i="3"/>
  <c r="BJ54" i="3"/>
  <c r="BJ53" i="3"/>
  <c r="BJ70" i="3"/>
  <c r="BJ71" i="3"/>
  <c r="BJ72" i="3"/>
  <c r="BJ73" i="3"/>
  <c r="BJ74" i="3"/>
  <c r="BJ75" i="3"/>
  <c r="BJ76" i="3"/>
  <c r="BJ77" i="3"/>
  <c r="BJ78" i="3"/>
  <c r="BJ79" i="3"/>
  <c r="BJ80" i="3"/>
  <c r="BJ69" i="3"/>
  <c r="A80" i="3"/>
  <c r="B80" i="3"/>
  <c r="C80" i="3"/>
  <c r="D80" i="3"/>
  <c r="A70" i="3"/>
  <c r="B70" i="3"/>
  <c r="C70" i="3"/>
  <c r="D70" i="3"/>
  <c r="A71" i="3"/>
  <c r="B71" i="3"/>
  <c r="C71" i="3"/>
  <c r="D71" i="3"/>
  <c r="A72" i="3"/>
  <c r="B72" i="3"/>
  <c r="C72" i="3"/>
  <c r="D72" i="3"/>
  <c r="A73" i="3"/>
  <c r="B73" i="3"/>
  <c r="C73" i="3"/>
  <c r="H73" i="3" s="1"/>
  <c r="D73" i="3"/>
  <c r="A74" i="3"/>
  <c r="B74" i="3"/>
  <c r="C74" i="3"/>
  <c r="D74" i="3"/>
  <c r="A75" i="3"/>
  <c r="B75" i="3"/>
  <c r="C75" i="3"/>
  <c r="D75" i="3"/>
  <c r="A76" i="3"/>
  <c r="B76" i="3"/>
  <c r="C76" i="3"/>
  <c r="D76" i="3"/>
  <c r="A77" i="3"/>
  <c r="B77" i="3"/>
  <c r="C77" i="3"/>
  <c r="D77" i="3"/>
  <c r="A78" i="3"/>
  <c r="B78" i="3"/>
  <c r="C78" i="3"/>
  <c r="D78" i="3"/>
  <c r="A79" i="3"/>
  <c r="B79" i="3"/>
  <c r="C79" i="3"/>
  <c r="D79" i="3"/>
  <c r="D69" i="3"/>
  <c r="H105" i="3" l="1"/>
  <c r="I97" i="3"/>
  <c r="H70" i="3"/>
  <c r="H80" i="3"/>
  <c r="H77" i="3"/>
  <c r="H78" i="3"/>
  <c r="H75" i="3"/>
  <c r="H71" i="3"/>
  <c r="H72" i="3"/>
  <c r="H76" i="3"/>
  <c r="H104" i="3" l="1"/>
  <c r="H79" i="3"/>
  <c r="H74" i="3"/>
  <c r="C69" i="3" l="1"/>
  <c r="H69" i="3" s="1"/>
  <c r="B69" i="3"/>
  <c r="E345" i="3"/>
  <c r="I309" i="3" s="1"/>
  <c r="AB317" i="3" l="1"/>
  <c r="AZ317" i="3"/>
  <c r="AW317" i="3"/>
  <c r="AK317" i="3"/>
  <c r="BC317" i="3"/>
  <c r="AU317" i="3"/>
  <c r="AY317" i="3"/>
  <c r="AO317" i="3"/>
  <c r="BH317" i="3"/>
  <c r="AV317" i="3"/>
  <c r="AE317" i="3"/>
  <c r="X317" i="3"/>
  <c r="V317" i="3"/>
  <c r="N317" i="3"/>
  <c r="I306" i="3"/>
  <c r="BE317" i="3"/>
  <c r="AF317" i="3"/>
  <c r="P317" i="3"/>
  <c r="W317" i="3"/>
  <c r="AD317" i="3"/>
  <c r="AA317" i="3"/>
  <c r="S317" i="3"/>
  <c r="L317" i="3"/>
  <c r="T317" i="3"/>
  <c r="Z317" i="3"/>
  <c r="BI317" i="3"/>
  <c r="BA317" i="3"/>
  <c r="AS317" i="3"/>
  <c r="AI317" i="3"/>
  <c r="Y317" i="3"/>
  <c r="BF317" i="3"/>
  <c r="M317" i="3"/>
  <c r="AH317" i="3"/>
  <c r="BD317" i="3"/>
  <c r="U317" i="3"/>
  <c r="AJ317" i="3"/>
  <c r="O317" i="3"/>
  <c r="AL317" i="3"/>
  <c r="AG317" i="3"/>
  <c r="AM317" i="3"/>
  <c r="Q317" i="3"/>
  <c r="BB317" i="3"/>
  <c r="AR317" i="3"/>
  <c r="AN317" i="3"/>
  <c r="AT317" i="3"/>
  <c r="AQ317" i="3"/>
  <c r="AX317" i="3"/>
  <c r="AP317" i="3"/>
  <c r="BG317" i="3"/>
  <c r="R317" i="3"/>
  <c r="AC317" i="3"/>
  <c r="I132" i="3"/>
  <c r="I292" i="3"/>
  <c r="H68" i="3"/>
  <c r="I289" i="3" l="1"/>
  <c r="L318" i="3"/>
  <c r="M318" i="3" s="1"/>
  <c r="N318" i="3" s="1"/>
  <c r="O318" i="3" s="1"/>
  <c r="P318" i="3" s="1"/>
  <c r="Q318" i="3" s="1"/>
  <c r="R318" i="3" s="1"/>
  <c r="S318" i="3" s="1"/>
  <c r="T318" i="3" s="1"/>
  <c r="U318" i="3" s="1"/>
  <c r="V318" i="3" s="1"/>
  <c r="W318" i="3" s="1"/>
  <c r="X318" i="3" s="1"/>
  <c r="Y318" i="3" s="1"/>
  <c r="Z318" i="3" s="1"/>
  <c r="AA318" i="3" s="1"/>
  <c r="AB318" i="3" s="1"/>
  <c r="AC318" i="3" s="1"/>
  <c r="AD318" i="3" s="1"/>
  <c r="AE318" i="3" s="1"/>
  <c r="AF318" i="3" s="1"/>
  <c r="AG318" i="3" s="1"/>
  <c r="AH318" i="3" s="1"/>
  <c r="AI318" i="3" s="1"/>
  <c r="AJ318" i="3" s="1"/>
  <c r="AK318" i="3" s="1"/>
  <c r="AL318" i="3" s="1"/>
  <c r="AM318" i="3" s="1"/>
  <c r="AN318" i="3" s="1"/>
  <c r="AO318" i="3" s="1"/>
  <c r="AP318" i="3" s="1"/>
  <c r="AQ318" i="3" s="1"/>
  <c r="AR318" i="3" s="1"/>
  <c r="AS318" i="3" s="1"/>
  <c r="AT318" i="3" s="1"/>
  <c r="AU318" i="3" s="1"/>
  <c r="AV318" i="3" s="1"/>
  <c r="AW318" i="3" s="1"/>
  <c r="AX318" i="3" s="1"/>
  <c r="AY318" i="3" s="1"/>
  <c r="AZ318" i="3" s="1"/>
  <c r="BA318" i="3" s="1"/>
  <c r="BB318" i="3" s="1"/>
  <c r="BC318" i="3" s="1"/>
  <c r="BD318" i="3" s="1"/>
  <c r="BE318" i="3" s="1"/>
  <c r="BF318" i="3" s="1"/>
  <c r="BG318" i="3" s="1"/>
  <c r="BH318" i="3" s="1"/>
  <c r="BI318" i="3" s="1"/>
  <c r="I317" i="3"/>
  <c r="AS319" i="3" s="1"/>
  <c r="M300" i="3"/>
  <c r="L300" i="3"/>
  <c r="L301" i="3" s="1"/>
  <c r="A69" i="3"/>
  <c r="A68" i="3"/>
  <c r="A56" i="3"/>
  <c r="B56" i="3"/>
  <c r="C56" i="3"/>
  <c r="A57" i="3"/>
  <c r="B57" i="3"/>
  <c r="C57" i="3"/>
  <c r="A58" i="3"/>
  <c r="B58" i="3"/>
  <c r="C58" i="3"/>
  <c r="A59" i="3"/>
  <c r="B59" i="3"/>
  <c r="C59" i="3"/>
  <c r="A60" i="3"/>
  <c r="B60" i="3"/>
  <c r="C60" i="3"/>
  <c r="A61" i="3"/>
  <c r="B61" i="3"/>
  <c r="C61" i="3"/>
  <c r="A62" i="3"/>
  <c r="B62" i="3"/>
  <c r="C62" i="3"/>
  <c r="A63" i="3"/>
  <c r="B63" i="3"/>
  <c r="C63" i="3"/>
  <c r="A64" i="3"/>
  <c r="B64" i="3"/>
  <c r="C64" i="3"/>
  <c r="A65" i="3"/>
  <c r="B65" i="3"/>
  <c r="C65" i="3"/>
  <c r="A66" i="3"/>
  <c r="B66" i="3"/>
  <c r="C66" i="3"/>
  <c r="C55" i="3"/>
  <c r="B55" i="3"/>
  <c r="A55" i="3"/>
  <c r="A54" i="3"/>
  <c r="B53" i="3"/>
  <c r="F39" i="3"/>
  <c r="E39" i="3"/>
  <c r="D39" i="3"/>
  <c r="K9" i="3"/>
  <c r="J9" i="3"/>
  <c r="C37" i="3"/>
  <c r="C35" i="3"/>
  <c r="C31" i="3"/>
  <c r="C30" i="3"/>
  <c r="C29" i="3"/>
  <c r="C28" i="3"/>
  <c r="C27" i="3"/>
  <c r="C26" i="3"/>
  <c r="C25" i="3"/>
  <c r="C24" i="3"/>
  <c r="F31" i="3"/>
  <c r="F30" i="3"/>
  <c r="F29" i="3"/>
  <c r="F28" i="3"/>
  <c r="F27" i="3"/>
  <c r="F26" i="3"/>
  <c r="F25" i="3"/>
  <c r="F24" i="3"/>
  <c r="C23" i="3"/>
  <c r="C33" i="3"/>
  <c r="C32" i="3"/>
  <c r="C22" i="3"/>
  <c r="C14" i="3"/>
  <c r="C13" i="3"/>
  <c r="E15" i="3"/>
  <c r="K28" i="1"/>
  <c r="K27" i="1"/>
  <c r="K26" i="1"/>
  <c r="K25" i="1"/>
  <c r="K24" i="1"/>
  <c r="K23" i="1"/>
  <c r="K22" i="1"/>
  <c r="K21" i="1"/>
  <c r="K18" i="1"/>
  <c r="K17" i="1"/>
  <c r="K16" i="1"/>
  <c r="K15" i="1"/>
  <c r="K14" i="1"/>
  <c r="K13" i="1"/>
  <c r="K12" i="1"/>
  <c r="C16" i="3"/>
  <c r="C17" i="3"/>
  <c r="C18" i="3"/>
  <c r="C19" i="3"/>
  <c r="C20" i="3"/>
  <c r="C21" i="3"/>
  <c r="C15" i="3"/>
  <c r="A12" i="3"/>
  <c r="F16" i="3"/>
  <c r="F17" i="3"/>
  <c r="F18" i="3"/>
  <c r="F19" i="3"/>
  <c r="F20" i="3"/>
  <c r="F21" i="3"/>
  <c r="F15" i="3"/>
  <c r="S319" i="3" l="1"/>
  <c r="AM319" i="3"/>
  <c r="W319" i="3"/>
  <c r="AU319" i="3"/>
  <c r="U319" i="3"/>
  <c r="BA319" i="3"/>
  <c r="AE319" i="3"/>
  <c r="AQ319" i="3"/>
  <c r="O319" i="3"/>
  <c r="AI319" i="3"/>
  <c r="AG319" i="3"/>
  <c r="AO319" i="3"/>
  <c r="AB319" i="3"/>
  <c r="AZ319" i="3"/>
  <c r="L319" i="3"/>
  <c r="L320" i="3" s="1"/>
  <c r="BE319" i="3"/>
  <c r="Z319" i="3"/>
  <c r="BI319" i="3"/>
  <c r="AT319" i="3"/>
  <c r="AX319" i="3"/>
  <c r="M319" i="3"/>
  <c r="AH319" i="3"/>
  <c r="BD319" i="3"/>
  <c r="I300" i="3"/>
  <c r="K307" i="3"/>
  <c r="K309" i="3"/>
  <c r="Q319" i="3"/>
  <c r="AL319" i="3"/>
  <c r="BB319" i="3"/>
  <c r="N319" i="3"/>
  <c r="AK319" i="3"/>
  <c r="T319" i="3"/>
  <c r="K306" i="3"/>
  <c r="K317" i="3" s="1"/>
  <c r="K328" i="3" s="1"/>
  <c r="BG319" i="3"/>
  <c r="AY319" i="3"/>
  <c r="R319" i="3"/>
  <c r="Y319" i="3"/>
  <c r="X319" i="3"/>
  <c r="AD319" i="3"/>
  <c r="AP319" i="3"/>
  <c r="BH319" i="3"/>
  <c r="AN319" i="3"/>
  <c r="AV319" i="3"/>
  <c r="AC319" i="3"/>
  <c r="AW319" i="3"/>
  <c r="AJ319" i="3"/>
  <c r="AR319" i="3"/>
  <c r="AF319" i="3"/>
  <c r="V319" i="3"/>
  <c r="P319" i="3"/>
  <c r="BC319" i="3"/>
  <c r="AA319" i="3"/>
  <c r="BF319" i="3"/>
  <c r="I237" i="3"/>
  <c r="I130" i="3"/>
  <c r="H39" i="3"/>
  <c r="H30" i="3"/>
  <c r="H21" i="3"/>
  <c r="H28" i="3"/>
  <c r="H19" i="3"/>
  <c r="H18" i="3"/>
  <c r="H31" i="3"/>
  <c r="H17" i="3"/>
  <c r="H24" i="3"/>
  <c r="H25" i="3"/>
  <c r="H29" i="3"/>
  <c r="H15" i="3"/>
  <c r="H27" i="3"/>
  <c r="H26" i="3"/>
  <c r="H20" i="3"/>
  <c r="H16" i="3"/>
  <c r="M320" i="3" l="1"/>
  <c r="N320" i="3" s="1"/>
  <c r="O320" i="3" s="1"/>
  <c r="P320" i="3" s="1"/>
  <c r="Q320" i="3" s="1"/>
  <c r="R320" i="3" s="1"/>
  <c r="S320" i="3" s="1"/>
  <c r="T320" i="3" s="1"/>
  <c r="U320" i="3" s="1"/>
  <c r="V320" i="3" s="1"/>
  <c r="W320" i="3" s="1"/>
  <c r="X320" i="3" s="1"/>
  <c r="Y320" i="3" s="1"/>
  <c r="Z320" i="3" s="1"/>
  <c r="AA320" i="3" s="1"/>
  <c r="AB320" i="3" s="1"/>
  <c r="AC320" i="3" s="1"/>
  <c r="AD320" i="3" s="1"/>
  <c r="AE320" i="3" s="1"/>
  <c r="AF320" i="3" s="1"/>
  <c r="AG320" i="3" s="1"/>
  <c r="AH320" i="3" s="1"/>
  <c r="AI320" i="3" s="1"/>
  <c r="AJ320" i="3" s="1"/>
  <c r="AK320" i="3" s="1"/>
  <c r="AL320" i="3" s="1"/>
  <c r="AM320" i="3" s="1"/>
  <c r="AN320" i="3" s="1"/>
  <c r="AO320" i="3" s="1"/>
  <c r="AP320" i="3" s="1"/>
  <c r="AQ320" i="3" s="1"/>
  <c r="AR320" i="3" s="1"/>
  <c r="AS320" i="3" s="1"/>
  <c r="AT320" i="3" s="1"/>
  <c r="AU320" i="3" s="1"/>
  <c r="AV320" i="3" s="1"/>
  <c r="AW320" i="3" s="1"/>
  <c r="AX320" i="3" s="1"/>
  <c r="AY320" i="3" s="1"/>
  <c r="AZ320" i="3" s="1"/>
  <c r="BA320" i="3" s="1"/>
  <c r="BB320" i="3" s="1"/>
  <c r="BC320" i="3" s="1"/>
  <c r="BD320" i="3" s="1"/>
  <c r="BE320" i="3" s="1"/>
  <c r="BF320" i="3" s="1"/>
  <c r="BG320" i="3" s="1"/>
  <c r="BH320" i="3" s="1"/>
  <c r="BI320" i="3" s="1"/>
  <c r="K290" i="3"/>
  <c r="K292" i="3"/>
  <c r="K289" i="3"/>
  <c r="K300" i="3" s="1"/>
  <c r="I129" i="3"/>
  <c r="L140" i="3"/>
  <c r="M140" i="3"/>
  <c r="L141" i="3" l="1"/>
  <c r="M141" i="3" s="1"/>
  <c r="I140" i="3"/>
  <c r="K132" i="3" l="1"/>
  <c r="K130" i="3"/>
  <c r="L303" i="3"/>
  <c r="M142" i="3"/>
  <c r="L142" i="3"/>
  <c r="L143" i="3" s="1"/>
  <c r="E16" i="3"/>
  <c r="E17" i="3"/>
  <c r="E18" i="3"/>
  <c r="E19" i="3"/>
  <c r="E20" i="3"/>
  <c r="E21" i="3"/>
  <c r="E24" i="3"/>
  <c r="E25" i="3"/>
  <c r="E26" i="3"/>
  <c r="E27" i="3"/>
  <c r="E28" i="3"/>
  <c r="E29" i="3"/>
  <c r="E30" i="3"/>
  <c r="E31" i="3"/>
  <c r="E34" i="3"/>
  <c r="E36" i="3"/>
  <c r="A36" i="3"/>
  <c r="D36" i="3"/>
  <c r="F36" i="3"/>
  <c r="G36" i="3"/>
  <c r="A37" i="3"/>
  <c r="B37" i="3"/>
  <c r="G15" i="3"/>
  <c r="I15" i="3" s="1"/>
  <c r="G16" i="3"/>
  <c r="I16" i="3" s="1"/>
  <c r="G17" i="3"/>
  <c r="I17" i="3" s="1"/>
  <c r="G18" i="3"/>
  <c r="I18" i="3" s="1"/>
  <c r="G19" i="3"/>
  <c r="I19" i="3" s="1"/>
  <c r="G20" i="3"/>
  <c r="I20" i="3" s="1"/>
  <c r="G21" i="3"/>
  <c r="I21" i="3" s="1"/>
  <c r="D24" i="3"/>
  <c r="G24" i="3"/>
  <c r="I24" i="3" s="1"/>
  <c r="D25" i="3"/>
  <c r="G25" i="3"/>
  <c r="I25" i="3" s="1"/>
  <c r="D26" i="3"/>
  <c r="G26" i="3"/>
  <c r="I26" i="3" s="1"/>
  <c r="D27" i="3"/>
  <c r="G27" i="3"/>
  <c r="I27" i="3" s="1"/>
  <c r="D28" i="3"/>
  <c r="G28" i="3"/>
  <c r="I28" i="3" s="1"/>
  <c r="D29" i="3"/>
  <c r="G29" i="3"/>
  <c r="I29" i="3" s="1"/>
  <c r="D30" i="3"/>
  <c r="G30" i="3"/>
  <c r="I30" i="3" s="1"/>
  <c r="D31" i="3"/>
  <c r="G31" i="3"/>
  <c r="I31" i="3" s="1"/>
  <c r="D34" i="3"/>
  <c r="F34" i="3"/>
  <c r="G34" i="3"/>
  <c r="D38" i="3"/>
  <c r="F38" i="3"/>
  <c r="G38" i="3"/>
  <c r="A32" i="3"/>
  <c r="B32" i="3"/>
  <c r="A33" i="3"/>
  <c r="B33" i="3"/>
  <c r="A34" i="3"/>
  <c r="A35" i="3"/>
  <c r="B35" i="3"/>
  <c r="A25" i="3"/>
  <c r="B25" i="3"/>
  <c r="A26" i="3"/>
  <c r="B26" i="3"/>
  <c r="A27" i="3"/>
  <c r="B27" i="3"/>
  <c r="A28" i="3"/>
  <c r="B28" i="3"/>
  <c r="A29" i="3"/>
  <c r="B29" i="3"/>
  <c r="A30" i="3"/>
  <c r="B30" i="3"/>
  <c r="A31" i="3"/>
  <c r="B31" i="3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K129" i="3" l="1"/>
  <c r="K140" i="3" s="1"/>
  <c r="M303" i="3"/>
  <c r="M143" i="3"/>
  <c r="M138" i="3"/>
  <c r="E8" i="3" l="1"/>
  <c r="G9" i="3"/>
  <c r="F9" i="3"/>
  <c r="B13" i="3"/>
  <c r="A13" i="3"/>
  <c r="B11" i="3"/>
  <c r="L137" i="1" l="1"/>
  <c r="K137" i="1"/>
  <c r="G117" i="1"/>
  <c r="H117" i="1" s="1"/>
  <c r="F200" i="3" s="1"/>
  <c r="H200" i="3" s="1"/>
  <c r="E109" i="1"/>
  <c r="L105" i="1"/>
  <c r="D188" i="3" s="1"/>
  <c r="K105" i="1"/>
  <c r="G105" i="1"/>
  <c r="H105" i="1" s="1"/>
  <c r="F188" i="3" s="1"/>
  <c r="F187" i="3" s="1"/>
  <c r="E95" i="1"/>
  <c r="E91" i="1"/>
  <c r="G83" i="1"/>
  <c r="H83" i="1" s="1"/>
  <c r="F153" i="3" s="1"/>
  <c r="H153" i="3" s="1"/>
  <c r="L126" i="1"/>
  <c r="D221" i="3" s="1"/>
  <c r="D127" i="1"/>
  <c r="G126" i="1"/>
  <c r="H125" i="1"/>
  <c r="K125" i="1" s="1"/>
  <c r="L145" i="1"/>
  <c r="K145" i="1"/>
  <c r="G145" i="1"/>
  <c r="H145" i="1" s="1"/>
  <c r="L143" i="1"/>
  <c r="K143" i="1"/>
  <c r="G143" i="1"/>
  <c r="H143" i="1" s="1"/>
  <c r="L139" i="1"/>
  <c r="K139" i="1"/>
  <c r="G139" i="1"/>
  <c r="H139" i="1" s="1"/>
  <c r="G137" i="1"/>
  <c r="H137" i="1" s="1"/>
  <c r="L109" i="1"/>
  <c r="D192" i="3" s="1"/>
  <c r="K109" i="1"/>
  <c r="G109" i="1"/>
  <c r="H109" i="1" s="1"/>
  <c r="F192" i="3" s="1"/>
  <c r="H192" i="3" s="1"/>
  <c r="L121" i="1"/>
  <c r="D204" i="3" s="1"/>
  <c r="K121" i="1"/>
  <c r="G121" i="1"/>
  <c r="H121" i="1" s="1"/>
  <c r="F204" i="3" s="1"/>
  <c r="H204" i="3" s="1"/>
  <c r="L119" i="1"/>
  <c r="D202" i="3" s="1"/>
  <c r="K119" i="1"/>
  <c r="G119" i="1"/>
  <c r="H119" i="1" s="1"/>
  <c r="F202" i="3" s="1"/>
  <c r="H202" i="3" s="1"/>
  <c r="L117" i="1"/>
  <c r="D200" i="3" s="1"/>
  <c r="K117" i="1"/>
  <c r="L115" i="1"/>
  <c r="D198" i="3" s="1"/>
  <c r="K115" i="1"/>
  <c r="G115" i="1"/>
  <c r="H115" i="1" s="1"/>
  <c r="F198" i="3" s="1"/>
  <c r="H198" i="3" s="1"/>
  <c r="L113" i="1"/>
  <c r="D196" i="3" s="1"/>
  <c r="K113" i="1"/>
  <c r="G113" i="1"/>
  <c r="H113" i="1" s="1"/>
  <c r="F196" i="3" s="1"/>
  <c r="H196" i="3" s="1"/>
  <c r="L111" i="1"/>
  <c r="D194" i="3" s="1"/>
  <c r="K111" i="1"/>
  <c r="G111" i="1"/>
  <c r="H111" i="1" s="1"/>
  <c r="F194" i="3" s="1"/>
  <c r="H194" i="3" s="1"/>
  <c r="I121" i="1" l="1"/>
  <c r="G204" i="3" s="1"/>
  <c r="I204" i="3" s="1"/>
  <c r="I119" i="1"/>
  <c r="G202" i="3" s="1"/>
  <c r="I202" i="3" s="1"/>
  <c r="I137" i="1"/>
  <c r="G243" i="3" s="1"/>
  <c r="F243" i="3"/>
  <c r="I83" i="1"/>
  <c r="G153" i="3" s="1"/>
  <c r="I153" i="3" s="1"/>
  <c r="I109" i="1"/>
  <c r="G192" i="3" s="1"/>
  <c r="I192" i="3" s="1"/>
  <c r="I145" i="1"/>
  <c r="G251" i="3" s="1"/>
  <c r="I251" i="3" s="1"/>
  <c r="F251" i="3"/>
  <c r="H251" i="3" s="1"/>
  <c r="I139" i="1"/>
  <c r="G245" i="3" s="1"/>
  <c r="I245" i="3" s="1"/>
  <c r="F245" i="3"/>
  <c r="H245" i="3" s="1"/>
  <c r="H188" i="3"/>
  <c r="I111" i="1"/>
  <c r="G194" i="3" s="1"/>
  <c r="I194" i="3" s="1"/>
  <c r="I113" i="1"/>
  <c r="G196" i="3" s="1"/>
  <c r="I196" i="3" s="1"/>
  <c r="I115" i="1"/>
  <c r="G198" i="3" s="1"/>
  <c r="I198" i="3" s="1"/>
  <c r="I143" i="1"/>
  <c r="G249" i="3" s="1"/>
  <c r="I249" i="3" s="1"/>
  <c r="F249" i="3"/>
  <c r="H249" i="3" s="1"/>
  <c r="D126" i="1"/>
  <c r="K126" i="1" s="1"/>
  <c r="G222" i="3"/>
  <c r="I222" i="3" s="1"/>
  <c r="I117" i="1"/>
  <c r="G200" i="3" s="1"/>
  <c r="I200" i="3" s="1"/>
  <c r="I105" i="1"/>
  <c r="G188" i="3" s="1"/>
  <c r="M105" i="1"/>
  <c r="E188" i="3" s="1"/>
  <c r="H127" i="1"/>
  <c r="I127" i="1" s="1"/>
  <c r="H126" i="1"/>
  <c r="F221" i="3" s="1"/>
  <c r="M109" i="1"/>
  <c r="E192" i="3" s="1"/>
  <c r="M119" i="1"/>
  <c r="E202" i="3" s="1"/>
  <c r="M111" i="1"/>
  <c r="E194" i="3" s="1"/>
  <c r="M115" i="1"/>
  <c r="E198" i="3" s="1"/>
  <c r="M113" i="1"/>
  <c r="E196" i="3" s="1"/>
  <c r="M121" i="1"/>
  <c r="E204" i="3" s="1"/>
  <c r="M117" i="1"/>
  <c r="E200" i="3" s="1"/>
  <c r="L97" i="1"/>
  <c r="D167" i="3" s="1"/>
  <c r="K97" i="1"/>
  <c r="G97" i="1"/>
  <c r="H97" i="1" s="1"/>
  <c r="L95" i="1"/>
  <c r="D165" i="3" s="1"/>
  <c r="K95" i="1"/>
  <c r="G95" i="1"/>
  <c r="H95" i="1" s="1"/>
  <c r="L93" i="1"/>
  <c r="D163" i="3" s="1"/>
  <c r="K93" i="1"/>
  <c r="G93" i="1"/>
  <c r="H93" i="1" s="1"/>
  <c r="L91" i="1"/>
  <c r="D161" i="3" s="1"/>
  <c r="K91" i="1"/>
  <c r="G91" i="1"/>
  <c r="H91" i="1" s="1"/>
  <c r="L89" i="1"/>
  <c r="D159" i="3" s="1"/>
  <c r="K89" i="1"/>
  <c r="G89" i="1"/>
  <c r="H89" i="1" s="1"/>
  <c r="L87" i="1"/>
  <c r="D157" i="3" s="1"/>
  <c r="K87" i="1"/>
  <c r="G87" i="1"/>
  <c r="H87" i="1" s="1"/>
  <c r="L83" i="1"/>
  <c r="D153" i="3" s="1"/>
  <c r="K83" i="1"/>
  <c r="L85" i="1"/>
  <c r="D155" i="3" s="1"/>
  <c r="K85" i="1"/>
  <c r="G85" i="1"/>
  <c r="H85" i="1" s="1"/>
  <c r="L79" i="1"/>
  <c r="D149" i="3" s="1"/>
  <c r="K79" i="1"/>
  <c r="G79" i="1"/>
  <c r="H79" i="1" s="1"/>
  <c r="L77" i="1"/>
  <c r="K77" i="1"/>
  <c r="G77" i="1"/>
  <c r="H77" i="1" s="1"/>
  <c r="L69" i="1"/>
  <c r="K69" i="1"/>
  <c r="G69" i="1"/>
  <c r="H69" i="1" s="1"/>
  <c r="L67" i="1"/>
  <c r="D110" i="3" s="1"/>
  <c r="D109" i="3" s="1"/>
  <c r="K67" i="1"/>
  <c r="G67" i="1"/>
  <c r="H67" i="1" s="1"/>
  <c r="L65" i="1"/>
  <c r="D106" i="3" s="1"/>
  <c r="G65" i="1"/>
  <c r="F64" i="1"/>
  <c r="G64" i="1" s="1"/>
  <c r="H64" i="1" s="1"/>
  <c r="I64" i="1" s="1"/>
  <c r="G105" i="3" s="1"/>
  <c r="I105" i="3" s="1"/>
  <c r="D65" i="1"/>
  <c r="F63" i="1"/>
  <c r="G63" i="1" s="1"/>
  <c r="H63" i="1" s="1"/>
  <c r="I63" i="1" s="1"/>
  <c r="G104" i="3" s="1"/>
  <c r="I104" i="3" s="1"/>
  <c r="L58" i="1"/>
  <c r="K58" i="1"/>
  <c r="E97" i="3" s="1"/>
  <c r="G58" i="1"/>
  <c r="H58" i="1" s="1"/>
  <c r="L62" i="1"/>
  <c r="D103" i="3" s="1"/>
  <c r="G62" i="1"/>
  <c r="H62" i="1" s="1"/>
  <c r="F103" i="3" s="1"/>
  <c r="L60" i="1"/>
  <c r="K60" i="1"/>
  <c r="G60" i="1"/>
  <c r="K44" i="1"/>
  <c r="E70" i="3" s="1"/>
  <c r="G70" i="3" s="1"/>
  <c r="I70" i="3" s="1"/>
  <c r="K45" i="1"/>
  <c r="E71" i="3" s="1"/>
  <c r="G71" i="3" s="1"/>
  <c r="I71" i="3" s="1"/>
  <c r="K46" i="1"/>
  <c r="E72" i="3" s="1"/>
  <c r="G72" i="3" s="1"/>
  <c r="I72" i="3" s="1"/>
  <c r="K47" i="1"/>
  <c r="E73" i="3" s="1"/>
  <c r="G73" i="3" s="1"/>
  <c r="I73" i="3" s="1"/>
  <c r="K48" i="1"/>
  <c r="E74" i="3" s="1"/>
  <c r="G74" i="3" s="1"/>
  <c r="I74" i="3" s="1"/>
  <c r="K49" i="1"/>
  <c r="E75" i="3" s="1"/>
  <c r="G75" i="3" s="1"/>
  <c r="I75" i="3" s="1"/>
  <c r="K50" i="1"/>
  <c r="E76" i="3" s="1"/>
  <c r="G76" i="3" s="1"/>
  <c r="I76" i="3" s="1"/>
  <c r="K51" i="1"/>
  <c r="E77" i="3" s="1"/>
  <c r="G77" i="3" s="1"/>
  <c r="I77" i="3" s="1"/>
  <c r="K52" i="1"/>
  <c r="E78" i="3" s="1"/>
  <c r="G78" i="3" s="1"/>
  <c r="I78" i="3" s="1"/>
  <c r="K53" i="1"/>
  <c r="E79" i="3" s="1"/>
  <c r="G79" i="3" s="1"/>
  <c r="I79" i="3" s="1"/>
  <c r="K54" i="1"/>
  <c r="E80" i="3" s="1"/>
  <c r="G80" i="3" s="1"/>
  <c r="I80" i="3" s="1"/>
  <c r="J42" i="1"/>
  <c r="H44" i="1"/>
  <c r="F56" i="3" s="1"/>
  <c r="H45" i="1"/>
  <c r="F57" i="3" s="1"/>
  <c r="H46" i="1"/>
  <c r="F58" i="3" s="1"/>
  <c r="H47" i="1"/>
  <c r="F59" i="3" s="1"/>
  <c r="H48" i="1"/>
  <c r="F60" i="3" s="1"/>
  <c r="H49" i="1"/>
  <c r="F61" i="3" s="1"/>
  <c r="H50" i="1"/>
  <c r="F62" i="3" s="1"/>
  <c r="H51" i="1"/>
  <c r="F63" i="3" s="1"/>
  <c r="H52" i="1"/>
  <c r="F64" i="3" s="1"/>
  <c r="H53" i="1"/>
  <c r="F65" i="3" s="1"/>
  <c r="H54" i="1"/>
  <c r="F66" i="3" s="1"/>
  <c r="H43" i="1"/>
  <c r="F55" i="3" s="1"/>
  <c r="D42" i="1"/>
  <c r="Q43" i="1"/>
  <c r="K43" i="1"/>
  <c r="E69" i="3" s="1"/>
  <c r="G69" i="3" s="1"/>
  <c r="H187" i="3" l="1"/>
  <c r="H209" i="3" s="1"/>
  <c r="G58" i="3"/>
  <c r="I58" i="3" s="1"/>
  <c r="H58" i="3"/>
  <c r="F159" i="3"/>
  <c r="H159" i="3" s="1"/>
  <c r="I89" i="1"/>
  <c r="G159" i="3" s="1"/>
  <c r="I159" i="3" s="1"/>
  <c r="G62" i="3"/>
  <c r="I62" i="3" s="1"/>
  <c r="H62" i="3"/>
  <c r="G60" i="3"/>
  <c r="I60" i="3" s="1"/>
  <c r="H60" i="3"/>
  <c r="G55" i="3"/>
  <c r="H55" i="3"/>
  <c r="F54" i="3"/>
  <c r="F53" i="3" s="1"/>
  <c r="G59" i="3"/>
  <c r="I59" i="3" s="1"/>
  <c r="H59" i="3"/>
  <c r="H60" i="1"/>
  <c r="F100" i="3" s="1"/>
  <c r="F114" i="3"/>
  <c r="H114" i="3" s="1"/>
  <c r="F113" i="3"/>
  <c r="I69" i="1"/>
  <c r="F220" i="3"/>
  <c r="H221" i="3"/>
  <c r="L209" i="3"/>
  <c r="L211" i="3" s="1"/>
  <c r="M209" i="3"/>
  <c r="M211" i="3" s="1"/>
  <c r="G57" i="3"/>
  <c r="I57" i="3" s="1"/>
  <c r="H57" i="3"/>
  <c r="D114" i="3"/>
  <c r="D113" i="3"/>
  <c r="F165" i="3"/>
  <c r="H165" i="3" s="1"/>
  <c r="I95" i="1"/>
  <c r="G165" i="3" s="1"/>
  <c r="I165" i="3" s="1"/>
  <c r="G64" i="3"/>
  <c r="I64" i="3" s="1"/>
  <c r="H64" i="3"/>
  <c r="G56" i="3"/>
  <c r="I56" i="3" s="1"/>
  <c r="H56" i="3"/>
  <c r="K73" i="1"/>
  <c r="F147" i="3"/>
  <c r="I77" i="1"/>
  <c r="G147" i="3" s="1"/>
  <c r="G187" i="3"/>
  <c r="I188" i="3"/>
  <c r="H243" i="3"/>
  <c r="F236" i="3"/>
  <c r="K65" i="1"/>
  <c r="E106" i="3"/>
  <c r="G63" i="3"/>
  <c r="I63" i="3" s="1"/>
  <c r="H63" i="3"/>
  <c r="F161" i="3"/>
  <c r="H161" i="3" s="1"/>
  <c r="I91" i="1"/>
  <c r="G161" i="3" s="1"/>
  <c r="I161" i="3" s="1"/>
  <c r="G236" i="3"/>
  <c r="I243" i="3"/>
  <c r="G65" i="3"/>
  <c r="I65" i="3" s="1"/>
  <c r="H65" i="3"/>
  <c r="F110" i="3"/>
  <c r="H110" i="3" s="1"/>
  <c r="F109" i="3"/>
  <c r="I67" i="1"/>
  <c r="G61" i="3"/>
  <c r="I61" i="3" s="1"/>
  <c r="H61" i="3"/>
  <c r="F149" i="3"/>
  <c r="H149" i="3" s="1"/>
  <c r="I79" i="1"/>
  <c r="G149" i="3" s="1"/>
  <c r="I149" i="3" s="1"/>
  <c r="F157" i="3"/>
  <c r="H157" i="3" s="1"/>
  <c r="I87" i="1"/>
  <c r="G157" i="3" s="1"/>
  <c r="I157" i="3" s="1"/>
  <c r="G66" i="3"/>
  <c r="I66" i="3" s="1"/>
  <c r="H66" i="3"/>
  <c r="F155" i="3"/>
  <c r="H155" i="3" s="1"/>
  <c r="I85" i="1"/>
  <c r="G155" i="3" s="1"/>
  <c r="I155" i="3" s="1"/>
  <c r="G68" i="3"/>
  <c r="G53" i="3" s="1"/>
  <c r="I69" i="3"/>
  <c r="F96" i="3"/>
  <c r="I58" i="1"/>
  <c r="G96" i="3" s="1"/>
  <c r="L76" i="1"/>
  <c r="D147" i="3"/>
  <c r="F167" i="3"/>
  <c r="H167" i="3" s="1"/>
  <c r="I97" i="1"/>
  <c r="G167" i="3" s="1"/>
  <c r="I167" i="3" s="1"/>
  <c r="L57" i="1"/>
  <c r="D96" i="3"/>
  <c r="D97" i="3"/>
  <c r="F163" i="3"/>
  <c r="H163" i="3" s="1"/>
  <c r="I93" i="1"/>
  <c r="G163" i="3" s="1"/>
  <c r="I163" i="3" s="1"/>
  <c r="I126" i="1"/>
  <c r="G221" i="3" s="1"/>
  <c r="M126" i="1"/>
  <c r="M89" i="1"/>
  <c r="E159" i="3" s="1"/>
  <c r="M67" i="1"/>
  <c r="M97" i="1"/>
  <c r="E167" i="3" s="1"/>
  <c r="M95" i="1"/>
  <c r="E165" i="3" s="1"/>
  <c r="M93" i="1"/>
  <c r="E163" i="3" s="1"/>
  <c r="M91" i="1"/>
  <c r="E161" i="3" s="1"/>
  <c r="M87" i="1"/>
  <c r="E157" i="3" s="1"/>
  <c r="M85" i="1"/>
  <c r="E155" i="3" s="1"/>
  <c r="M83" i="1"/>
  <c r="M79" i="1"/>
  <c r="E149" i="3" s="1"/>
  <c r="M77" i="1"/>
  <c r="E147" i="3" s="1"/>
  <c r="H65" i="1"/>
  <c r="M69" i="1"/>
  <c r="M58" i="1"/>
  <c r="E96" i="3" s="1"/>
  <c r="K62" i="1"/>
  <c r="I62" i="1"/>
  <c r="G103" i="3" s="1"/>
  <c r="M62" i="1"/>
  <c r="M60" i="1"/>
  <c r="H42" i="1"/>
  <c r="K42" i="1" s="1"/>
  <c r="F345" i="3" s="1"/>
  <c r="J187" i="3" l="1"/>
  <c r="J209" i="3" s="1"/>
  <c r="J206" i="3"/>
  <c r="J190" i="3"/>
  <c r="J198" i="3"/>
  <c r="J204" i="3"/>
  <c r="J194" i="3"/>
  <c r="J192" i="3"/>
  <c r="J200" i="3"/>
  <c r="J196" i="3"/>
  <c r="J202" i="3"/>
  <c r="J188" i="3"/>
  <c r="BF263" i="3"/>
  <c r="AO263" i="3"/>
  <c r="BE263" i="3"/>
  <c r="AG263" i="3"/>
  <c r="BB263" i="3"/>
  <c r="AS263" i="3"/>
  <c r="AE263" i="3"/>
  <c r="AI263" i="3"/>
  <c r="I236" i="3"/>
  <c r="I263" i="3" s="1"/>
  <c r="AD263" i="3"/>
  <c r="BD263" i="3"/>
  <c r="T263" i="3"/>
  <c r="V263" i="3"/>
  <c r="AA263" i="3"/>
  <c r="O263" i="3"/>
  <c r="AM263" i="3"/>
  <c r="AX263" i="3"/>
  <c r="BI263" i="3"/>
  <c r="AL263" i="3"/>
  <c r="AQ263" i="3"/>
  <c r="P263" i="3"/>
  <c r="W263" i="3"/>
  <c r="R263" i="3"/>
  <c r="AW263" i="3"/>
  <c r="AF263" i="3"/>
  <c r="AZ263" i="3"/>
  <c r="BG263" i="3"/>
  <c r="AH263" i="3"/>
  <c r="AJ263" i="3"/>
  <c r="X263" i="3"/>
  <c r="AK263" i="3"/>
  <c r="AC263" i="3"/>
  <c r="N263" i="3"/>
  <c r="Z263" i="3"/>
  <c r="AN263" i="3"/>
  <c r="BC263" i="3"/>
  <c r="AV263" i="3"/>
  <c r="Q263" i="3"/>
  <c r="Y263" i="3"/>
  <c r="AU263" i="3"/>
  <c r="AY263" i="3"/>
  <c r="U263" i="3"/>
  <c r="AR263" i="3"/>
  <c r="S263" i="3"/>
  <c r="AB263" i="3"/>
  <c r="AP263" i="3"/>
  <c r="BH263" i="3"/>
  <c r="AT263" i="3"/>
  <c r="BA263" i="3"/>
  <c r="AL258" i="3"/>
  <c r="V258" i="3"/>
  <c r="S258" i="3"/>
  <c r="BG258" i="3"/>
  <c r="BA258" i="3"/>
  <c r="N258" i="3"/>
  <c r="AT258" i="3"/>
  <c r="AW258" i="3"/>
  <c r="BH258" i="3"/>
  <c r="U258" i="3"/>
  <c r="X258" i="3"/>
  <c r="AO258" i="3"/>
  <c r="AI258" i="3"/>
  <c r="H236" i="3"/>
  <c r="H258" i="3" s="1"/>
  <c r="J243" i="3" s="1"/>
  <c r="AB258" i="3"/>
  <c r="AC258" i="3"/>
  <c r="AM258" i="3"/>
  <c r="AH258" i="3"/>
  <c r="P258" i="3"/>
  <c r="AZ258" i="3"/>
  <c r="AF258" i="3"/>
  <c r="AS258" i="3"/>
  <c r="AD258" i="3"/>
  <c r="T258" i="3"/>
  <c r="AV258" i="3"/>
  <c r="AJ258" i="3"/>
  <c r="AP258" i="3"/>
  <c r="BI258" i="3"/>
  <c r="AG258" i="3"/>
  <c r="AA258" i="3"/>
  <c r="AQ258" i="3"/>
  <c r="AE258" i="3"/>
  <c r="BD258" i="3"/>
  <c r="AN258" i="3"/>
  <c r="AK258" i="3"/>
  <c r="BF258" i="3"/>
  <c r="W258" i="3"/>
  <c r="BC258" i="3"/>
  <c r="AX258" i="3"/>
  <c r="Z258" i="3"/>
  <c r="R258" i="3"/>
  <c r="BB258" i="3"/>
  <c r="BE258" i="3"/>
  <c r="AU258" i="3"/>
  <c r="Q258" i="3"/>
  <c r="AR258" i="3"/>
  <c r="AY258" i="3"/>
  <c r="O258" i="3"/>
  <c r="Y258" i="3"/>
  <c r="I60" i="1"/>
  <c r="G100" i="3" s="1"/>
  <c r="H220" i="3"/>
  <c r="H225" i="3" s="1"/>
  <c r="J220" i="3" s="1"/>
  <c r="J225" i="3" s="1"/>
  <c r="L225" i="3"/>
  <c r="M225" i="3"/>
  <c r="M227" i="3" s="1"/>
  <c r="G99" i="3"/>
  <c r="I100" i="3"/>
  <c r="M263" i="3"/>
  <c r="L263" i="3"/>
  <c r="I187" i="3"/>
  <c r="I214" i="3" s="1"/>
  <c r="K188" i="3" s="1"/>
  <c r="M214" i="3"/>
  <c r="L214" i="3"/>
  <c r="G109" i="3"/>
  <c r="G110" i="3"/>
  <c r="I110" i="3" s="1"/>
  <c r="G146" i="3"/>
  <c r="I147" i="3"/>
  <c r="L210" i="3"/>
  <c r="M210" i="3" s="1"/>
  <c r="E114" i="3"/>
  <c r="E113" i="3"/>
  <c r="E110" i="3"/>
  <c r="E109" i="3"/>
  <c r="H109" i="3"/>
  <c r="F146" i="3"/>
  <c r="H147" i="3"/>
  <c r="H113" i="3"/>
  <c r="I68" i="3"/>
  <c r="H54" i="3"/>
  <c r="G114" i="3"/>
  <c r="I114" i="3" s="1"/>
  <c r="G113" i="3"/>
  <c r="H96" i="3"/>
  <c r="F95" i="3"/>
  <c r="I55" i="3"/>
  <c r="G54" i="3"/>
  <c r="M65" i="1"/>
  <c r="F106" i="3"/>
  <c r="H106" i="3" s="1"/>
  <c r="G95" i="3"/>
  <c r="I96" i="3"/>
  <c r="G220" i="3"/>
  <c r="I221" i="3"/>
  <c r="M258" i="3"/>
  <c r="L258" i="3"/>
  <c r="F99" i="3"/>
  <c r="H100" i="3"/>
  <c r="I65" i="1"/>
  <c r="G106" i="3" s="1"/>
  <c r="I106" i="3" s="1"/>
  <c r="I42" i="1"/>
  <c r="L216" i="3" l="1"/>
  <c r="L215" i="3"/>
  <c r="K187" i="3"/>
  <c r="K214" i="3" s="1"/>
  <c r="K206" i="3"/>
  <c r="K190" i="3"/>
  <c r="K198" i="3"/>
  <c r="K202" i="3"/>
  <c r="K192" i="3"/>
  <c r="K204" i="3"/>
  <c r="K196" i="3"/>
  <c r="K194" i="3"/>
  <c r="K200" i="3"/>
  <c r="M216" i="3"/>
  <c r="AT265" i="3"/>
  <c r="AU265" i="3"/>
  <c r="AC265" i="3"/>
  <c r="AW265" i="3"/>
  <c r="AR260" i="3"/>
  <c r="BC260" i="3"/>
  <c r="BH265" i="3"/>
  <c r="Y265" i="3"/>
  <c r="AK265" i="3"/>
  <c r="R265" i="3"/>
  <c r="O265" i="3"/>
  <c r="AE265" i="3"/>
  <c r="AP265" i="3"/>
  <c r="Q265" i="3"/>
  <c r="X265" i="3"/>
  <c r="W265" i="3"/>
  <c r="AA265" i="3"/>
  <c r="AS265" i="3"/>
  <c r="AB265" i="3"/>
  <c r="AV265" i="3"/>
  <c r="AJ265" i="3"/>
  <c r="P265" i="3"/>
  <c r="V265" i="3"/>
  <c r="BB265" i="3"/>
  <c r="S265" i="3"/>
  <c r="BC265" i="3"/>
  <c r="AH265" i="3"/>
  <c r="AQ265" i="3"/>
  <c r="T265" i="3"/>
  <c r="M265" i="3"/>
  <c r="AR265" i="3"/>
  <c r="AN265" i="3"/>
  <c r="BG265" i="3"/>
  <c r="AL265" i="3"/>
  <c r="BD265" i="3"/>
  <c r="U265" i="3"/>
  <c r="Z265" i="3"/>
  <c r="AZ265" i="3"/>
  <c r="BI265" i="3"/>
  <c r="AD265" i="3"/>
  <c r="BA265" i="3"/>
  <c r="AY265" i="3"/>
  <c r="N265" i="3"/>
  <c r="AF265" i="3"/>
  <c r="AX265" i="3"/>
  <c r="AS260" i="3"/>
  <c r="AA260" i="3"/>
  <c r="L260" i="3"/>
  <c r="M260" i="3"/>
  <c r="AY260" i="3"/>
  <c r="AX260" i="3"/>
  <c r="AQ260" i="3"/>
  <c r="AD260" i="3"/>
  <c r="AB260" i="3"/>
  <c r="AT260" i="3"/>
  <c r="Q260" i="3"/>
  <c r="W260" i="3"/>
  <c r="AG260" i="3"/>
  <c r="AF260" i="3"/>
  <c r="AI260" i="3"/>
  <c r="BA260" i="3"/>
  <c r="AU260" i="3"/>
  <c r="BF260" i="3"/>
  <c r="BI260" i="3"/>
  <c r="AZ260" i="3"/>
  <c r="AO260" i="3"/>
  <c r="BG260" i="3"/>
  <c r="BE260" i="3"/>
  <c r="AK260" i="3"/>
  <c r="AP260" i="3"/>
  <c r="P260" i="3"/>
  <c r="X260" i="3"/>
  <c r="S260" i="3"/>
  <c r="BB260" i="3"/>
  <c r="AN260" i="3"/>
  <c r="AJ260" i="3"/>
  <c r="AH260" i="3"/>
  <c r="U260" i="3"/>
  <c r="Y260" i="3"/>
  <c r="R260" i="3"/>
  <c r="BD260" i="3"/>
  <c r="AV260" i="3"/>
  <c r="AM260" i="3"/>
  <c r="BH260" i="3"/>
  <c r="AL260" i="3"/>
  <c r="O260" i="3"/>
  <c r="Z260" i="3"/>
  <c r="AE260" i="3"/>
  <c r="T260" i="3"/>
  <c r="AC260" i="3"/>
  <c r="AW260" i="3"/>
  <c r="V260" i="3"/>
  <c r="AG265" i="3"/>
  <c r="BE265" i="3"/>
  <c r="L265" i="3"/>
  <c r="L264" i="3"/>
  <c r="AO265" i="3"/>
  <c r="K236" i="3"/>
  <c r="K263" i="3" s="1"/>
  <c r="K254" i="3"/>
  <c r="K250" i="3"/>
  <c r="K246" i="3"/>
  <c r="K242" i="3"/>
  <c r="K238" i="3"/>
  <c r="K252" i="3"/>
  <c r="K248" i="3"/>
  <c r="K244" i="3"/>
  <c r="K240" i="3"/>
  <c r="K253" i="3"/>
  <c r="K255" i="3"/>
  <c r="K239" i="3"/>
  <c r="K241" i="3"/>
  <c r="K247" i="3"/>
  <c r="K237" i="3"/>
  <c r="K249" i="3"/>
  <c r="K245" i="3"/>
  <c r="K251" i="3"/>
  <c r="BF265" i="3"/>
  <c r="J236" i="3"/>
  <c r="J258" i="3" s="1"/>
  <c r="J254" i="3"/>
  <c r="J250" i="3"/>
  <c r="J246" i="3"/>
  <c r="J242" i="3"/>
  <c r="J238" i="3"/>
  <c r="J252" i="3"/>
  <c r="J248" i="3"/>
  <c r="J244" i="3"/>
  <c r="J240" i="3"/>
  <c r="J241" i="3"/>
  <c r="J253" i="3"/>
  <c r="J239" i="3"/>
  <c r="J237" i="3"/>
  <c r="J247" i="3"/>
  <c r="J255" i="3"/>
  <c r="J251" i="3"/>
  <c r="J245" i="3"/>
  <c r="J249" i="3"/>
  <c r="N260" i="3"/>
  <c r="AM265" i="3"/>
  <c r="AI265" i="3"/>
  <c r="K243" i="3"/>
  <c r="H99" i="3"/>
  <c r="I113" i="3"/>
  <c r="I54" i="3"/>
  <c r="I88" i="3" s="1"/>
  <c r="H95" i="3"/>
  <c r="AT176" i="3"/>
  <c r="AT323" i="3" s="1"/>
  <c r="Q176" i="3"/>
  <c r="AS176" i="3"/>
  <c r="AS323" i="3" s="1"/>
  <c r="AJ176" i="3"/>
  <c r="AJ323" i="3" s="1"/>
  <c r="S176" i="3"/>
  <c r="R176" i="3"/>
  <c r="AH176" i="3"/>
  <c r="AG176" i="3"/>
  <c r="U176" i="3"/>
  <c r="AW176" i="3"/>
  <c r="AW323" i="3" s="1"/>
  <c r="T176" i="3"/>
  <c r="AR176" i="3"/>
  <c r="AR323" i="3" s="1"/>
  <c r="AB176" i="3"/>
  <c r="Z176" i="3"/>
  <c r="X176" i="3"/>
  <c r="BH176" i="3"/>
  <c r="BH323" i="3" s="1"/>
  <c r="AQ176" i="3"/>
  <c r="AQ323" i="3" s="1"/>
  <c r="BD176" i="3"/>
  <c r="BD323" i="3" s="1"/>
  <c r="AY176" i="3"/>
  <c r="AY323" i="3" s="1"/>
  <c r="BB176" i="3"/>
  <c r="BB323" i="3" s="1"/>
  <c r="BI176" i="3"/>
  <c r="BF176" i="3"/>
  <c r="BF323" i="3" s="1"/>
  <c r="AE176" i="3"/>
  <c r="AC176" i="3"/>
  <c r="AX176" i="3"/>
  <c r="AX323" i="3" s="1"/>
  <c r="H176" i="3"/>
  <c r="AN176" i="3"/>
  <c r="BE176" i="3"/>
  <c r="BE323" i="3" s="1"/>
  <c r="O176" i="3"/>
  <c r="Y176" i="3"/>
  <c r="BA176" i="3"/>
  <c r="BA323" i="3" s="1"/>
  <c r="AO176" i="3"/>
  <c r="AO323" i="3" s="1"/>
  <c r="AU176" i="3"/>
  <c r="AU323" i="3" s="1"/>
  <c r="AK176" i="3"/>
  <c r="AK178" i="3" s="1"/>
  <c r="H146" i="3"/>
  <c r="AD176" i="3"/>
  <c r="W176" i="3"/>
  <c r="AZ176" i="3"/>
  <c r="AZ323" i="3" s="1"/>
  <c r="V176" i="3"/>
  <c r="AA176" i="3"/>
  <c r="AP176" i="3"/>
  <c r="AP323" i="3" s="1"/>
  <c r="M176" i="3"/>
  <c r="M178" i="3" s="1"/>
  <c r="AF176" i="3"/>
  <c r="AL176" i="3"/>
  <c r="AL323" i="3" s="1"/>
  <c r="AV176" i="3"/>
  <c r="AV323" i="3" s="1"/>
  <c r="BG176" i="3"/>
  <c r="BG323" i="3" s="1"/>
  <c r="AI176" i="3"/>
  <c r="N176" i="3"/>
  <c r="BC176" i="3"/>
  <c r="BC323" i="3" s="1"/>
  <c r="P176" i="3"/>
  <c r="P178" i="3" s="1"/>
  <c r="AM176" i="3"/>
  <c r="L176" i="3"/>
  <c r="I99" i="3"/>
  <c r="I220" i="3"/>
  <c r="I230" i="3" s="1"/>
  <c r="K220" i="3" s="1"/>
  <c r="K230" i="3" s="1"/>
  <c r="L230" i="3"/>
  <c r="M230" i="3"/>
  <c r="M232" i="3" s="1"/>
  <c r="I109" i="3"/>
  <c r="H103" i="3"/>
  <c r="I95" i="3"/>
  <c r="L181" i="3"/>
  <c r="BB181" i="3"/>
  <c r="BB328" i="3" s="1"/>
  <c r="BF181" i="3"/>
  <c r="BF328" i="3" s="1"/>
  <c r="Y181" i="3"/>
  <c r="AB181" i="3"/>
  <c r="Q181" i="3"/>
  <c r="AS181" i="3"/>
  <c r="AS328" i="3" s="1"/>
  <c r="S181" i="3"/>
  <c r="I146" i="3"/>
  <c r="AM181" i="3"/>
  <c r="AM328" i="3" s="1"/>
  <c r="AT181" i="3"/>
  <c r="AT328" i="3" s="1"/>
  <c r="M181" i="3"/>
  <c r="W181" i="3"/>
  <c r="AA181" i="3"/>
  <c r="P181" i="3"/>
  <c r="BA181" i="3"/>
  <c r="BA328" i="3" s="1"/>
  <c r="N181" i="3"/>
  <c r="AE181" i="3"/>
  <c r="AP181" i="3"/>
  <c r="AP328" i="3" s="1"/>
  <c r="AR181" i="3"/>
  <c r="AR328" i="3" s="1"/>
  <c r="AU181" i="3"/>
  <c r="AU328" i="3" s="1"/>
  <c r="AV181" i="3"/>
  <c r="AV328" i="3" s="1"/>
  <c r="BD181" i="3"/>
  <c r="BD328" i="3" s="1"/>
  <c r="AG181" i="3"/>
  <c r="V181" i="3"/>
  <c r="BH181" i="3"/>
  <c r="BH328" i="3" s="1"/>
  <c r="AK181" i="3"/>
  <c r="AK328" i="3" s="1"/>
  <c r="U181" i="3"/>
  <c r="Z181" i="3"/>
  <c r="R181" i="3"/>
  <c r="AD181" i="3"/>
  <c r="AL181" i="3"/>
  <c r="AL328" i="3" s="1"/>
  <c r="BE181" i="3"/>
  <c r="BE328" i="3" s="1"/>
  <c r="AY181" i="3"/>
  <c r="AY328" i="3" s="1"/>
  <c r="AI181" i="3"/>
  <c r="AF181" i="3"/>
  <c r="AH181" i="3"/>
  <c r="AJ181" i="3"/>
  <c r="AJ328" i="3" s="1"/>
  <c r="BC181" i="3"/>
  <c r="BC328" i="3" s="1"/>
  <c r="AW181" i="3"/>
  <c r="AW328" i="3" s="1"/>
  <c r="O181" i="3"/>
  <c r="T181" i="3"/>
  <c r="AC181" i="3"/>
  <c r="AZ181" i="3"/>
  <c r="AZ328" i="3" s="1"/>
  <c r="AX181" i="3"/>
  <c r="AX328" i="3" s="1"/>
  <c r="BG181" i="3"/>
  <c r="BG328" i="3" s="1"/>
  <c r="BI181" i="3"/>
  <c r="AO181" i="3"/>
  <c r="AO328" i="3" s="1"/>
  <c r="AN181" i="3"/>
  <c r="AN328" i="3" s="1"/>
  <c r="X181" i="3"/>
  <c r="AQ181" i="3"/>
  <c r="AQ328" i="3" s="1"/>
  <c r="L226" i="3"/>
  <c r="M226" i="3" s="1"/>
  <c r="N226" i="3" s="1"/>
  <c r="O226" i="3" s="1"/>
  <c r="P226" i="3" s="1"/>
  <c r="Q226" i="3" s="1"/>
  <c r="R226" i="3" s="1"/>
  <c r="S226" i="3" s="1"/>
  <c r="T226" i="3" s="1"/>
  <c r="U226" i="3" s="1"/>
  <c r="V226" i="3" s="1"/>
  <c r="W226" i="3" s="1"/>
  <c r="X226" i="3" s="1"/>
  <c r="Y226" i="3" s="1"/>
  <c r="Z226" i="3" s="1"/>
  <c r="AA226" i="3" s="1"/>
  <c r="AB226" i="3" s="1"/>
  <c r="AC226" i="3" s="1"/>
  <c r="AD226" i="3" s="1"/>
  <c r="AE226" i="3" s="1"/>
  <c r="AF226" i="3" s="1"/>
  <c r="AG226" i="3" s="1"/>
  <c r="AH226" i="3" s="1"/>
  <c r="AI226" i="3" s="1"/>
  <c r="AJ226" i="3" s="1"/>
  <c r="AK226" i="3" s="1"/>
  <c r="AL226" i="3" s="1"/>
  <c r="AM226" i="3" s="1"/>
  <c r="AN226" i="3" s="1"/>
  <c r="AO226" i="3" s="1"/>
  <c r="AP226" i="3" s="1"/>
  <c r="AQ226" i="3" s="1"/>
  <c r="AR226" i="3" s="1"/>
  <c r="AS226" i="3" s="1"/>
  <c r="AT226" i="3" s="1"/>
  <c r="AU226" i="3" s="1"/>
  <c r="AV226" i="3" s="1"/>
  <c r="AW226" i="3" s="1"/>
  <c r="AX226" i="3" s="1"/>
  <c r="AY226" i="3" s="1"/>
  <c r="AZ226" i="3" s="1"/>
  <c r="BA226" i="3" s="1"/>
  <c r="BB226" i="3" s="1"/>
  <c r="BC226" i="3" s="1"/>
  <c r="BD226" i="3" s="1"/>
  <c r="BE226" i="3" s="1"/>
  <c r="BF226" i="3" s="1"/>
  <c r="BG226" i="3" s="1"/>
  <c r="BH226" i="3" s="1"/>
  <c r="BI226" i="3" s="1"/>
  <c r="H83" i="3"/>
  <c r="L83" i="3"/>
  <c r="H53" i="3"/>
  <c r="M83" i="3"/>
  <c r="I103" i="3"/>
  <c r="L259" i="3"/>
  <c r="M259" i="3" s="1"/>
  <c r="N259" i="3" s="1"/>
  <c r="O259" i="3" s="1"/>
  <c r="P259" i="3" s="1"/>
  <c r="Q259" i="3" s="1"/>
  <c r="R259" i="3" s="1"/>
  <c r="S259" i="3" s="1"/>
  <c r="T259" i="3" s="1"/>
  <c r="U259" i="3" s="1"/>
  <c r="V259" i="3" s="1"/>
  <c r="W259" i="3" s="1"/>
  <c r="X259" i="3" s="1"/>
  <c r="Y259" i="3" s="1"/>
  <c r="Z259" i="3" s="1"/>
  <c r="AA259" i="3" s="1"/>
  <c r="AB259" i="3" s="1"/>
  <c r="AC259" i="3" s="1"/>
  <c r="AD259" i="3" s="1"/>
  <c r="AE259" i="3" s="1"/>
  <c r="AF259" i="3" s="1"/>
  <c r="AG259" i="3" s="1"/>
  <c r="AH259" i="3" s="1"/>
  <c r="AI259" i="3" s="1"/>
  <c r="AJ259" i="3" s="1"/>
  <c r="AK259" i="3" s="1"/>
  <c r="AL259" i="3" s="1"/>
  <c r="AM259" i="3" s="1"/>
  <c r="AN259" i="3" s="1"/>
  <c r="AO259" i="3" s="1"/>
  <c r="AP259" i="3" s="1"/>
  <c r="AQ259" i="3" s="1"/>
  <c r="AR259" i="3" s="1"/>
  <c r="AS259" i="3" s="1"/>
  <c r="AT259" i="3" s="1"/>
  <c r="AU259" i="3" s="1"/>
  <c r="AV259" i="3" s="1"/>
  <c r="AW259" i="3" s="1"/>
  <c r="AX259" i="3" s="1"/>
  <c r="AY259" i="3" s="1"/>
  <c r="AZ259" i="3" s="1"/>
  <c r="BA259" i="3" s="1"/>
  <c r="BB259" i="3" s="1"/>
  <c r="BC259" i="3" s="1"/>
  <c r="BD259" i="3" s="1"/>
  <c r="BE259" i="3" s="1"/>
  <c r="BF259" i="3" s="1"/>
  <c r="BG259" i="3" s="1"/>
  <c r="BH259" i="3" s="1"/>
  <c r="BI259" i="3" s="1"/>
  <c r="G94" i="3"/>
  <c r="F94" i="3"/>
  <c r="D37" i="1"/>
  <c r="D36" i="1"/>
  <c r="G39" i="3" s="1"/>
  <c r="I39" i="3" s="1"/>
  <c r="L32" i="1"/>
  <c r="L34" i="1"/>
  <c r="K32" i="1"/>
  <c r="G34" i="1"/>
  <c r="G32" i="1"/>
  <c r="H32" i="1" s="1"/>
  <c r="D34" i="1"/>
  <c r="K34" i="1" s="1"/>
  <c r="K10" i="1"/>
  <c r="K11" i="1"/>
  <c r="K19" i="1"/>
  <c r="K20" i="1"/>
  <c r="K29" i="1"/>
  <c r="K30" i="1"/>
  <c r="L30" i="1"/>
  <c r="D33" i="3" s="1"/>
  <c r="G30" i="1"/>
  <c r="L29" i="1"/>
  <c r="D32" i="3" s="1"/>
  <c r="G29" i="1"/>
  <c r="H29" i="1" s="1"/>
  <c r="L20" i="1"/>
  <c r="D23" i="3" s="1"/>
  <c r="G20" i="1"/>
  <c r="L19" i="1"/>
  <c r="D22" i="3" s="1"/>
  <c r="G19" i="1"/>
  <c r="H19" i="1" s="1"/>
  <c r="L11" i="1"/>
  <c r="D14" i="3" s="1"/>
  <c r="G11" i="1"/>
  <c r="H11" i="1" s="1"/>
  <c r="L10" i="1"/>
  <c r="D13" i="3" s="1"/>
  <c r="G10" i="1"/>
  <c r="H10" i="1" s="1"/>
  <c r="D9" i="1"/>
  <c r="E212" i="1"/>
  <c r="E210" i="1"/>
  <c r="E206" i="1"/>
  <c r="E205" i="1"/>
  <c r="E204" i="1"/>
  <c r="E203" i="1"/>
  <c r="E208" i="1"/>
  <c r="S203" i="1"/>
  <c r="V205" i="1"/>
  <c r="S205" i="1"/>
  <c r="T202" i="1"/>
  <c r="S202" i="1"/>
  <c r="Q215" i="1"/>
  <c r="Q214" i="1"/>
  <c r="T214" i="1"/>
  <c r="L202" i="1"/>
  <c r="K202" i="1"/>
  <c r="L203" i="1"/>
  <c r="L204" i="1"/>
  <c r="L206" i="1"/>
  <c r="L208" i="1"/>
  <c r="L209" i="1"/>
  <c r="L210" i="1"/>
  <c r="L211" i="1"/>
  <c r="L212" i="1"/>
  <c r="L213" i="1"/>
  <c r="K213" i="1"/>
  <c r="K212" i="1"/>
  <c r="K211" i="1"/>
  <c r="K210" i="1"/>
  <c r="K209" i="1"/>
  <c r="K208" i="1"/>
  <c r="K206" i="1"/>
  <c r="K204" i="1"/>
  <c r="K203" i="1"/>
  <c r="B14" i="2"/>
  <c r="B12" i="2"/>
  <c r="F12" i="2"/>
  <c r="F5" i="2"/>
  <c r="F6" i="2"/>
  <c r="F7" i="2"/>
  <c r="F8" i="2"/>
  <c r="F9" i="2"/>
  <c r="F10" i="2"/>
  <c r="F11" i="2"/>
  <c r="F4" i="2"/>
  <c r="D12" i="2"/>
  <c r="C12" i="2"/>
  <c r="G12" i="2" s="1"/>
  <c r="E12" i="2"/>
  <c r="AM178" i="3" l="1"/>
  <c r="AF178" i="3"/>
  <c r="J146" i="3"/>
  <c r="AN178" i="3"/>
  <c r="AN323" i="3"/>
  <c r="AM323" i="3"/>
  <c r="AK323" i="3"/>
  <c r="AY178" i="3"/>
  <c r="BC178" i="3"/>
  <c r="AP178" i="3"/>
  <c r="AU178" i="3"/>
  <c r="AX178" i="3"/>
  <c r="AQ178" i="3"/>
  <c r="N178" i="3"/>
  <c r="AA178" i="3"/>
  <c r="AO178" i="3"/>
  <c r="AC178" i="3"/>
  <c r="BH178" i="3"/>
  <c r="AG178" i="3"/>
  <c r="AI178" i="3"/>
  <c r="V178" i="3"/>
  <c r="BA178" i="3"/>
  <c r="AE178" i="3"/>
  <c r="X178" i="3"/>
  <c r="AH178" i="3"/>
  <c r="BG178" i="3"/>
  <c r="AZ178" i="3"/>
  <c r="Y178" i="3"/>
  <c r="BF178" i="3"/>
  <c r="K68" i="3"/>
  <c r="AV178" i="3"/>
  <c r="W178" i="3"/>
  <c r="O178" i="3"/>
  <c r="BI178" i="3"/>
  <c r="AL178" i="3"/>
  <c r="AD178" i="3"/>
  <c r="BE178" i="3"/>
  <c r="BB178" i="3"/>
  <c r="AR178" i="3"/>
  <c r="I19" i="1"/>
  <c r="G22" i="3" s="1"/>
  <c r="I22" i="3" s="1"/>
  <c r="F22" i="3"/>
  <c r="H22" i="3" s="1"/>
  <c r="M123" i="3"/>
  <c r="L123" i="3"/>
  <c r="N123" i="3"/>
  <c r="I94" i="3"/>
  <c r="I123" i="3"/>
  <c r="K113" i="3" s="1"/>
  <c r="I181" i="3"/>
  <c r="K146" i="3" s="1"/>
  <c r="K181" i="3" s="1"/>
  <c r="L182" i="3"/>
  <c r="M182" i="3" s="1"/>
  <c r="N182" i="3" s="1"/>
  <c r="O182" i="3" s="1"/>
  <c r="P182" i="3" s="1"/>
  <c r="Q182" i="3" s="1"/>
  <c r="R182" i="3" s="1"/>
  <c r="S182" i="3" s="1"/>
  <c r="T182" i="3" s="1"/>
  <c r="U182" i="3" s="1"/>
  <c r="V182" i="3" s="1"/>
  <c r="W182" i="3" s="1"/>
  <c r="X182" i="3" s="1"/>
  <c r="Y182" i="3" s="1"/>
  <c r="Z182" i="3" s="1"/>
  <c r="AA182" i="3" s="1"/>
  <c r="AB182" i="3" s="1"/>
  <c r="AC182" i="3" s="1"/>
  <c r="AD182" i="3" s="1"/>
  <c r="AE182" i="3" s="1"/>
  <c r="AF182" i="3" s="1"/>
  <c r="AG182" i="3" s="1"/>
  <c r="AH182" i="3" s="1"/>
  <c r="AI182" i="3" s="1"/>
  <c r="AJ182" i="3" s="1"/>
  <c r="AK182" i="3" s="1"/>
  <c r="AL182" i="3" s="1"/>
  <c r="AM182" i="3" s="1"/>
  <c r="AN182" i="3" s="1"/>
  <c r="AO182" i="3" s="1"/>
  <c r="AP182" i="3" s="1"/>
  <c r="AQ182" i="3" s="1"/>
  <c r="AR182" i="3" s="1"/>
  <c r="AS182" i="3" s="1"/>
  <c r="AT182" i="3" s="1"/>
  <c r="AU182" i="3" s="1"/>
  <c r="AV182" i="3" s="1"/>
  <c r="AW182" i="3" s="1"/>
  <c r="AX182" i="3" s="1"/>
  <c r="AY182" i="3" s="1"/>
  <c r="AZ182" i="3" s="1"/>
  <c r="BA182" i="3" s="1"/>
  <c r="BB182" i="3" s="1"/>
  <c r="BC182" i="3" s="1"/>
  <c r="BD182" i="3" s="1"/>
  <c r="BE182" i="3" s="1"/>
  <c r="BF182" i="3" s="1"/>
  <c r="BG182" i="3" s="1"/>
  <c r="BH182" i="3" s="1"/>
  <c r="BI182" i="3" s="1"/>
  <c r="U178" i="3"/>
  <c r="AT178" i="3"/>
  <c r="L266" i="3"/>
  <c r="M266" i="3" s="1"/>
  <c r="N266" i="3" s="1"/>
  <c r="O266" i="3" s="1"/>
  <c r="P266" i="3" s="1"/>
  <c r="Q266" i="3" s="1"/>
  <c r="R266" i="3" s="1"/>
  <c r="S266" i="3" s="1"/>
  <c r="T266" i="3" s="1"/>
  <c r="U266" i="3" s="1"/>
  <c r="V266" i="3" s="1"/>
  <c r="W266" i="3" s="1"/>
  <c r="X266" i="3" s="1"/>
  <c r="Y266" i="3" s="1"/>
  <c r="Z266" i="3" s="1"/>
  <c r="AA266" i="3" s="1"/>
  <c r="AB266" i="3" s="1"/>
  <c r="AC266" i="3" s="1"/>
  <c r="AD266" i="3" s="1"/>
  <c r="AE266" i="3" s="1"/>
  <c r="AF266" i="3" s="1"/>
  <c r="AG266" i="3" s="1"/>
  <c r="AH266" i="3" s="1"/>
  <c r="AI266" i="3" s="1"/>
  <c r="AJ266" i="3" s="1"/>
  <c r="AK266" i="3" s="1"/>
  <c r="AL266" i="3" s="1"/>
  <c r="AM266" i="3" s="1"/>
  <c r="AN266" i="3" s="1"/>
  <c r="AO266" i="3" s="1"/>
  <c r="AP266" i="3" s="1"/>
  <c r="AQ266" i="3" s="1"/>
  <c r="AR266" i="3" s="1"/>
  <c r="AS266" i="3" s="1"/>
  <c r="AT266" i="3" s="1"/>
  <c r="AU266" i="3" s="1"/>
  <c r="AV266" i="3" s="1"/>
  <c r="AW266" i="3" s="1"/>
  <c r="AX266" i="3" s="1"/>
  <c r="AY266" i="3" s="1"/>
  <c r="AZ266" i="3" s="1"/>
  <c r="BA266" i="3" s="1"/>
  <c r="BB266" i="3" s="1"/>
  <c r="BC266" i="3" s="1"/>
  <c r="BD266" i="3" s="1"/>
  <c r="BE266" i="3" s="1"/>
  <c r="BF266" i="3" s="1"/>
  <c r="BG266" i="3" s="1"/>
  <c r="BH266" i="3" s="1"/>
  <c r="BI266" i="3" s="1"/>
  <c r="Z178" i="3"/>
  <c r="R178" i="3"/>
  <c r="K55" i="3"/>
  <c r="D8" i="1"/>
  <c r="D37" i="3"/>
  <c r="M85" i="3"/>
  <c r="AB178" i="3"/>
  <c r="S178" i="3"/>
  <c r="I53" i="3"/>
  <c r="K53" i="3" s="1"/>
  <c r="L88" i="3"/>
  <c r="L90" i="3" s="1"/>
  <c r="L91" i="3" s="1"/>
  <c r="M88" i="3"/>
  <c r="M90" i="3" s="1"/>
  <c r="K54" i="3"/>
  <c r="H94" i="3"/>
  <c r="H118" i="3"/>
  <c r="J103" i="3" s="1"/>
  <c r="L118" i="3"/>
  <c r="M118" i="3"/>
  <c r="N118" i="3"/>
  <c r="M10" i="1"/>
  <c r="E13" i="3" s="1"/>
  <c r="F13" i="3"/>
  <c r="H13" i="3" s="1"/>
  <c r="I29" i="1"/>
  <c r="G32" i="3" s="1"/>
  <c r="I32" i="3" s="1"/>
  <c r="F32" i="3"/>
  <c r="H32" i="3" s="1"/>
  <c r="J53" i="3"/>
  <c r="L85" i="3"/>
  <c r="L84" i="3"/>
  <c r="M84" i="3" s="1"/>
  <c r="L233" i="3"/>
  <c r="M231" i="3"/>
  <c r="N231" i="3" s="1"/>
  <c r="O231" i="3" s="1"/>
  <c r="P231" i="3" s="1"/>
  <c r="Q231" i="3" s="1"/>
  <c r="R231" i="3" s="1"/>
  <c r="S231" i="3" s="1"/>
  <c r="T231" i="3" s="1"/>
  <c r="U231" i="3" s="1"/>
  <c r="V231" i="3" s="1"/>
  <c r="W231" i="3" s="1"/>
  <c r="X231" i="3" s="1"/>
  <c r="Y231" i="3" s="1"/>
  <c r="Z231" i="3" s="1"/>
  <c r="AA231" i="3" s="1"/>
  <c r="AB231" i="3" s="1"/>
  <c r="AC231" i="3" s="1"/>
  <c r="AD231" i="3" s="1"/>
  <c r="AE231" i="3" s="1"/>
  <c r="AF231" i="3" s="1"/>
  <c r="AG231" i="3" s="1"/>
  <c r="AH231" i="3" s="1"/>
  <c r="AI231" i="3" s="1"/>
  <c r="AJ231" i="3" s="1"/>
  <c r="AK231" i="3" s="1"/>
  <c r="AL231" i="3" s="1"/>
  <c r="AM231" i="3" s="1"/>
  <c r="AN231" i="3" s="1"/>
  <c r="AO231" i="3" s="1"/>
  <c r="AP231" i="3" s="1"/>
  <c r="AQ231" i="3" s="1"/>
  <c r="AR231" i="3" s="1"/>
  <c r="AS231" i="3" s="1"/>
  <c r="AT231" i="3" s="1"/>
  <c r="AU231" i="3" s="1"/>
  <c r="AV231" i="3" s="1"/>
  <c r="AW231" i="3" s="1"/>
  <c r="AX231" i="3" s="1"/>
  <c r="AY231" i="3" s="1"/>
  <c r="AZ231" i="3" s="1"/>
  <c r="BA231" i="3" s="1"/>
  <c r="BB231" i="3" s="1"/>
  <c r="BC231" i="3" s="1"/>
  <c r="BD231" i="3" s="1"/>
  <c r="BE231" i="3" s="1"/>
  <c r="BF231" i="3" s="1"/>
  <c r="BG231" i="3" s="1"/>
  <c r="BH231" i="3" s="1"/>
  <c r="BI231" i="3" s="1"/>
  <c r="L178" i="3"/>
  <c r="L179" i="3" s="1"/>
  <c r="L177" i="3"/>
  <c r="M177" i="3" s="1"/>
  <c r="N177" i="3" s="1"/>
  <c r="O177" i="3" s="1"/>
  <c r="P177" i="3" s="1"/>
  <c r="Q177" i="3" s="1"/>
  <c r="R177" i="3" s="1"/>
  <c r="S177" i="3" s="1"/>
  <c r="T177" i="3" s="1"/>
  <c r="U177" i="3" s="1"/>
  <c r="V177" i="3" s="1"/>
  <c r="W177" i="3" s="1"/>
  <c r="X177" i="3" s="1"/>
  <c r="Y177" i="3" s="1"/>
  <c r="Z177" i="3" s="1"/>
  <c r="AA177" i="3" s="1"/>
  <c r="AB177" i="3" s="1"/>
  <c r="AC177" i="3" s="1"/>
  <c r="AD177" i="3" s="1"/>
  <c r="AE177" i="3" s="1"/>
  <c r="AF177" i="3" s="1"/>
  <c r="AG177" i="3" s="1"/>
  <c r="AH177" i="3" s="1"/>
  <c r="AI177" i="3" s="1"/>
  <c r="AJ177" i="3" s="1"/>
  <c r="AK177" i="3" s="1"/>
  <c r="AL177" i="3" s="1"/>
  <c r="AM177" i="3" s="1"/>
  <c r="AN177" i="3" s="1"/>
  <c r="AO177" i="3" s="1"/>
  <c r="AP177" i="3" s="1"/>
  <c r="AQ177" i="3" s="1"/>
  <c r="AR177" i="3" s="1"/>
  <c r="AS177" i="3" s="1"/>
  <c r="AT177" i="3" s="1"/>
  <c r="AU177" i="3" s="1"/>
  <c r="AV177" i="3" s="1"/>
  <c r="AW177" i="3" s="1"/>
  <c r="AX177" i="3" s="1"/>
  <c r="AY177" i="3" s="1"/>
  <c r="AZ177" i="3" s="1"/>
  <c r="BA177" i="3" s="1"/>
  <c r="BB177" i="3" s="1"/>
  <c r="BC177" i="3" s="1"/>
  <c r="BD177" i="3" s="1"/>
  <c r="BE177" i="3" s="1"/>
  <c r="BF177" i="3" s="1"/>
  <c r="BG177" i="3" s="1"/>
  <c r="BH177" i="3" s="1"/>
  <c r="BI177" i="3" s="1"/>
  <c r="AJ178" i="3"/>
  <c r="J99" i="3"/>
  <c r="F35" i="3"/>
  <c r="H35" i="3" s="1"/>
  <c r="I32" i="1"/>
  <c r="G35" i="3" s="1"/>
  <c r="I35" i="3" s="1"/>
  <c r="J275" i="3"/>
  <c r="J274" i="3"/>
  <c r="J268" i="3"/>
  <c r="J271" i="3"/>
  <c r="J270" i="3"/>
  <c r="J67" i="3"/>
  <c r="J70" i="3"/>
  <c r="J69" i="3"/>
  <c r="J73" i="3"/>
  <c r="J76" i="3"/>
  <c r="J77" i="3"/>
  <c r="J71" i="3"/>
  <c r="J68" i="3"/>
  <c r="J72" i="3"/>
  <c r="J74" i="3"/>
  <c r="J189" i="3"/>
  <c r="J80" i="3"/>
  <c r="J75" i="3"/>
  <c r="J79" i="3"/>
  <c r="J78" i="3"/>
  <c r="J62" i="3"/>
  <c r="J56" i="3"/>
  <c r="J58" i="3"/>
  <c r="J60" i="3"/>
  <c r="J63" i="3"/>
  <c r="J65" i="3"/>
  <c r="J61" i="3"/>
  <c r="J57" i="3"/>
  <c r="J64" i="3"/>
  <c r="L212" i="3"/>
  <c r="J66" i="3"/>
  <c r="J55" i="3"/>
  <c r="J59" i="3"/>
  <c r="K189" i="3"/>
  <c r="K67" i="3"/>
  <c r="K73" i="3"/>
  <c r="K79" i="3"/>
  <c r="K72" i="3"/>
  <c r="K70" i="3"/>
  <c r="K77" i="3"/>
  <c r="K74" i="3"/>
  <c r="K71" i="3"/>
  <c r="K76" i="3"/>
  <c r="K80" i="3"/>
  <c r="K75" i="3"/>
  <c r="K78" i="3"/>
  <c r="K59" i="3"/>
  <c r="K64" i="3"/>
  <c r="K69" i="3"/>
  <c r="K61" i="3"/>
  <c r="K66" i="3"/>
  <c r="K60" i="3"/>
  <c r="K63" i="3"/>
  <c r="K56" i="3"/>
  <c r="K57" i="3"/>
  <c r="K65" i="3"/>
  <c r="K62" i="3"/>
  <c r="K58" i="3"/>
  <c r="J54" i="3"/>
  <c r="T178" i="3"/>
  <c r="AS178" i="3"/>
  <c r="I11" i="1"/>
  <c r="G14" i="3" s="1"/>
  <c r="I14" i="3" s="1"/>
  <c r="F14" i="3"/>
  <c r="H14" i="3" s="1"/>
  <c r="L261" i="3"/>
  <c r="L217" i="3"/>
  <c r="M179" i="3"/>
  <c r="J147" i="3"/>
  <c r="J171" i="3"/>
  <c r="J160" i="3"/>
  <c r="J162" i="3"/>
  <c r="J156" i="3"/>
  <c r="J158" i="3"/>
  <c r="J150" i="3"/>
  <c r="J154" i="3"/>
  <c r="J168" i="3"/>
  <c r="J152" i="3"/>
  <c r="J172" i="3"/>
  <c r="J151" i="3"/>
  <c r="J148" i="3"/>
  <c r="J173" i="3"/>
  <c r="J166" i="3"/>
  <c r="J169" i="3"/>
  <c r="J164" i="3"/>
  <c r="J170" i="3"/>
  <c r="J153" i="3"/>
  <c r="J165" i="3"/>
  <c r="J149" i="3"/>
  <c r="J159" i="3"/>
  <c r="J163" i="3"/>
  <c r="J167" i="3"/>
  <c r="J155" i="3"/>
  <c r="J161" i="3"/>
  <c r="J157" i="3"/>
  <c r="BD178" i="3"/>
  <c r="AW178" i="3"/>
  <c r="Q178" i="3"/>
  <c r="D35" i="3"/>
  <c r="M32" i="1"/>
  <c r="E35" i="3" s="1"/>
  <c r="D38" i="1"/>
  <c r="F37" i="1"/>
  <c r="L9" i="1"/>
  <c r="F36" i="1"/>
  <c r="H34" i="1"/>
  <c r="I10" i="1"/>
  <c r="G13" i="3" s="1"/>
  <c r="I13" i="3" s="1"/>
  <c r="H20" i="1"/>
  <c r="H30" i="1"/>
  <c r="L214" i="1"/>
  <c r="G204" i="1"/>
  <c r="H204" i="1" s="1"/>
  <c r="G205" i="1"/>
  <c r="H205" i="1" s="1"/>
  <c r="G203" i="1"/>
  <c r="H203" i="1" s="1"/>
  <c r="N120" i="3" l="1"/>
  <c r="M233" i="3"/>
  <c r="N233" i="3" s="1"/>
  <c r="O233" i="3" s="1"/>
  <c r="P233" i="3" s="1"/>
  <c r="Q233" i="3" s="1"/>
  <c r="R233" i="3" s="1"/>
  <c r="S233" i="3" s="1"/>
  <c r="T233" i="3" s="1"/>
  <c r="U233" i="3" s="1"/>
  <c r="V233" i="3" s="1"/>
  <c r="W233" i="3" s="1"/>
  <c r="X233" i="3" s="1"/>
  <c r="Y233" i="3" s="1"/>
  <c r="Z233" i="3" s="1"/>
  <c r="AA233" i="3" s="1"/>
  <c r="AB233" i="3" s="1"/>
  <c r="AC233" i="3" s="1"/>
  <c r="AD233" i="3" s="1"/>
  <c r="AE233" i="3" s="1"/>
  <c r="AF233" i="3" s="1"/>
  <c r="AG233" i="3" s="1"/>
  <c r="AH233" i="3" s="1"/>
  <c r="AI233" i="3" s="1"/>
  <c r="AJ233" i="3" s="1"/>
  <c r="AK233" i="3" s="1"/>
  <c r="AL233" i="3" s="1"/>
  <c r="AM233" i="3" s="1"/>
  <c r="AN233" i="3" s="1"/>
  <c r="AO233" i="3" s="1"/>
  <c r="AP233" i="3" s="1"/>
  <c r="AQ233" i="3" s="1"/>
  <c r="AR233" i="3" s="1"/>
  <c r="AS233" i="3" s="1"/>
  <c r="AT233" i="3" s="1"/>
  <c r="AU233" i="3" s="1"/>
  <c r="AV233" i="3" s="1"/>
  <c r="AW233" i="3" s="1"/>
  <c r="AX233" i="3" s="1"/>
  <c r="AY233" i="3" s="1"/>
  <c r="AZ233" i="3" s="1"/>
  <c r="BA233" i="3" s="1"/>
  <c r="BB233" i="3" s="1"/>
  <c r="BC233" i="3" s="1"/>
  <c r="BD233" i="3" s="1"/>
  <c r="BE233" i="3" s="1"/>
  <c r="BF233" i="3" s="1"/>
  <c r="BG233" i="3" s="1"/>
  <c r="BH233" i="3" s="1"/>
  <c r="BI233" i="3" s="1"/>
  <c r="K88" i="3"/>
  <c r="L89" i="3" s="1"/>
  <c r="M89" i="3" s="1"/>
  <c r="N179" i="3"/>
  <c r="O179" i="3" s="1"/>
  <c r="P179" i="3" s="1"/>
  <c r="Q179" i="3" s="1"/>
  <c r="R179" i="3" s="1"/>
  <c r="S179" i="3" s="1"/>
  <c r="T179" i="3" s="1"/>
  <c r="U179" i="3" s="1"/>
  <c r="V179" i="3" s="1"/>
  <c r="W179" i="3" s="1"/>
  <c r="X179" i="3" s="1"/>
  <c r="Y179" i="3" s="1"/>
  <c r="Z179" i="3" s="1"/>
  <c r="AA179" i="3" s="1"/>
  <c r="AB179" i="3" s="1"/>
  <c r="AC179" i="3" s="1"/>
  <c r="AD179" i="3" s="1"/>
  <c r="AE179" i="3" s="1"/>
  <c r="AF179" i="3" s="1"/>
  <c r="AG179" i="3" s="1"/>
  <c r="AH179" i="3" s="1"/>
  <c r="AI179" i="3" s="1"/>
  <c r="AJ179" i="3" s="1"/>
  <c r="AK179" i="3" s="1"/>
  <c r="AL179" i="3" s="1"/>
  <c r="AM179" i="3" s="1"/>
  <c r="AN179" i="3" s="1"/>
  <c r="AO179" i="3" s="1"/>
  <c r="AP179" i="3" s="1"/>
  <c r="AQ179" i="3" s="1"/>
  <c r="AR179" i="3" s="1"/>
  <c r="AS179" i="3" s="1"/>
  <c r="AT179" i="3" s="1"/>
  <c r="AU179" i="3" s="1"/>
  <c r="AV179" i="3" s="1"/>
  <c r="AW179" i="3" s="1"/>
  <c r="AX179" i="3" s="1"/>
  <c r="AY179" i="3" s="1"/>
  <c r="AZ179" i="3" s="1"/>
  <c r="BA179" i="3" s="1"/>
  <c r="BB179" i="3" s="1"/>
  <c r="BC179" i="3" s="1"/>
  <c r="BD179" i="3" s="1"/>
  <c r="BE179" i="3" s="1"/>
  <c r="BF179" i="3" s="1"/>
  <c r="BG179" i="3" s="1"/>
  <c r="BH179" i="3" s="1"/>
  <c r="BI179" i="3" s="1"/>
  <c r="J94" i="3"/>
  <c r="M217" i="3"/>
  <c r="BE183" i="3"/>
  <c r="AU183" i="3"/>
  <c r="BB183" i="3"/>
  <c r="BF183" i="3"/>
  <c r="M183" i="3"/>
  <c r="AR183" i="3"/>
  <c r="AA183" i="3"/>
  <c r="BH183" i="3"/>
  <c r="AT183" i="3"/>
  <c r="AI183" i="3"/>
  <c r="BA183" i="3"/>
  <c r="AZ183" i="3"/>
  <c r="BI183" i="3"/>
  <c r="BG183" i="3"/>
  <c r="P183" i="3"/>
  <c r="K108" i="3"/>
  <c r="K115" i="3"/>
  <c r="K101" i="3"/>
  <c r="K111" i="3"/>
  <c r="K98" i="3"/>
  <c r="K112" i="3"/>
  <c r="K102" i="3"/>
  <c r="K97" i="3"/>
  <c r="K107" i="3"/>
  <c r="K105" i="3"/>
  <c r="K104" i="3"/>
  <c r="K110" i="3"/>
  <c r="K114" i="3"/>
  <c r="K106" i="3"/>
  <c r="K96" i="3"/>
  <c r="K100" i="3"/>
  <c r="L8" i="1"/>
  <c r="D12" i="3"/>
  <c r="X183" i="3"/>
  <c r="AS183" i="3"/>
  <c r="Y183" i="3"/>
  <c r="J95" i="3"/>
  <c r="J98" i="3"/>
  <c r="J97" i="3"/>
  <c r="J105" i="3"/>
  <c r="J111" i="3"/>
  <c r="J115" i="3"/>
  <c r="J108" i="3"/>
  <c r="J104" i="3"/>
  <c r="J112" i="3"/>
  <c r="J102" i="3"/>
  <c r="J101" i="3"/>
  <c r="J107" i="3"/>
  <c r="J110" i="3"/>
  <c r="J114" i="3"/>
  <c r="J96" i="3"/>
  <c r="J106" i="3"/>
  <c r="J113" i="3"/>
  <c r="J100" i="3"/>
  <c r="J109" i="3"/>
  <c r="AX183" i="3"/>
  <c r="AJ183" i="3"/>
  <c r="V183" i="3"/>
  <c r="BD183" i="3"/>
  <c r="AM183" i="3"/>
  <c r="AP183" i="3"/>
  <c r="M264" i="3"/>
  <c r="N264" i="3" s="1"/>
  <c r="O264" i="3" s="1"/>
  <c r="P264" i="3" s="1"/>
  <c r="Q264" i="3" s="1"/>
  <c r="R264" i="3" s="1"/>
  <c r="S264" i="3" s="1"/>
  <c r="T264" i="3" s="1"/>
  <c r="U264" i="3" s="1"/>
  <c r="V264" i="3" s="1"/>
  <c r="W264" i="3" s="1"/>
  <c r="X264" i="3" s="1"/>
  <c r="Y264" i="3" s="1"/>
  <c r="Z264" i="3" s="1"/>
  <c r="AA264" i="3" s="1"/>
  <c r="AB264" i="3" s="1"/>
  <c r="AC264" i="3" s="1"/>
  <c r="AD264" i="3" s="1"/>
  <c r="AE264" i="3" s="1"/>
  <c r="AF264" i="3" s="1"/>
  <c r="AG264" i="3" s="1"/>
  <c r="AH264" i="3" s="1"/>
  <c r="AI264" i="3" s="1"/>
  <c r="AJ264" i="3" s="1"/>
  <c r="AK264" i="3" s="1"/>
  <c r="AL264" i="3" s="1"/>
  <c r="AM264" i="3" s="1"/>
  <c r="AN264" i="3" s="1"/>
  <c r="AO264" i="3" s="1"/>
  <c r="AP264" i="3" s="1"/>
  <c r="AQ264" i="3" s="1"/>
  <c r="AR264" i="3" s="1"/>
  <c r="AS264" i="3" s="1"/>
  <c r="AT264" i="3" s="1"/>
  <c r="AU264" i="3" s="1"/>
  <c r="AV264" i="3" s="1"/>
  <c r="AW264" i="3" s="1"/>
  <c r="AX264" i="3" s="1"/>
  <c r="AY264" i="3" s="1"/>
  <c r="AZ264" i="3" s="1"/>
  <c r="BA264" i="3" s="1"/>
  <c r="BB264" i="3" s="1"/>
  <c r="BC264" i="3" s="1"/>
  <c r="BD264" i="3" s="1"/>
  <c r="BE264" i="3" s="1"/>
  <c r="BF264" i="3" s="1"/>
  <c r="BG264" i="3" s="1"/>
  <c r="BH264" i="3" s="1"/>
  <c r="BI264" i="3" s="1"/>
  <c r="U183" i="3"/>
  <c r="M120" i="3"/>
  <c r="AB183" i="3"/>
  <c r="M261" i="3"/>
  <c r="N261" i="3" s="1"/>
  <c r="O261" i="3" s="1"/>
  <c r="P261" i="3" s="1"/>
  <c r="Q261" i="3" s="1"/>
  <c r="R261" i="3" s="1"/>
  <c r="S261" i="3" s="1"/>
  <c r="T261" i="3" s="1"/>
  <c r="U261" i="3" s="1"/>
  <c r="V261" i="3" s="1"/>
  <c r="W261" i="3" s="1"/>
  <c r="X261" i="3" s="1"/>
  <c r="Y261" i="3" s="1"/>
  <c r="Z261" i="3" s="1"/>
  <c r="AA261" i="3" s="1"/>
  <c r="AB261" i="3" s="1"/>
  <c r="AC261" i="3" s="1"/>
  <c r="AD261" i="3" s="1"/>
  <c r="AE261" i="3" s="1"/>
  <c r="AF261" i="3" s="1"/>
  <c r="AG261" i="3" s="1"/>
  <c r="AH261" i="3" s="1"/>
  <c r="AI261" i="3" s="1"/>
  <c r="AJ261" i="3" s="1"/>
  <c r="AK261" i="3" s="1"/>
  <c r="AL261" i="3" s="1"/>
  <c r="AM261" i="3" s="1"/>
  <c r="AN261" i="3" s="1"/>
  <c r="AO261" i="3" s="1"/>
  <c r="AP261" i="3" s="1"/>
  <c r="AQ261" i="3" s="1"/>
  <c r="AR261" i="3" s="1"/>
  <c r="AS261" i="3" s="1"/>
  <c r="AT261" i="3" s="1"/>
  <c r="AU261" i="3" s="1"/>
  <c r="AV261" i="3" s="1"/>
  <c r="AW261" i="3" s="1"/>
  <c r="AX261" i="3" s="1"/>
  <c r="AY261" i="3" s="1"/>
  <c r="AZ261" i="3" s="1"/>
  <c r="BA261" i="3" s="1"/>
  <c r="BB261" i="3" s="1"/>
  <c r="BC261" i="3" s="1"/>
  <c r="BD261" i="3" s="1"/>
  <c r="BE261" i="3" s="1"/>
  <c r="BF261" i="3" s="1"/>
  <c r="BG261" i="3" s="1"/>
  <c r="BH261" i="3" s="1"/>
  <c r="BI261" i="3" s="1"/>
  <c r="AW183" i="3"/>
  <c r="L183" i="3"/>
  <c r="L184" i="3" s="1"/>
  <c r="L125" i="3"/>
  <c r="L126" i="3" s="1"/>
  <c r="L124" i="3"/>
  <c r="AO183" i="3"/>
  <c r="BC183" i="3"/>
  <c r="O183" i="3"/>
  <c r="I20" i="1"/>
  <c r="G23" i="3" s="1"/>
  <c r="I23" i="3" s="1"/>
  <c r="F23" i="3"/>
  <c r="H23" i="3" s="1"/>
  <c r="AE183" i="3"/>
  <c r="AD183" i="3"/>
  <c r="AK183" i="3"/>
  <c r="K109" i="3"/>
  <c r="AF183" i="3"/>
  <c r="L120" i="3"/>
  <c r="L121" i="3" s="1"/>
  <c r="L119" i="3"/>
  <c r="M119" i="3" s="1"/>
  <c r="N119" i="3" s="1"/>
  <c r="O119" i="3" s="1"/>
  <c r="P119" i="3" s="1"/>
  <c r="Q119" i="3" s="1"/>
  <c r="R119" i="3" s="1"/>
  <c r="S119" i="3" s="1"/>
  <c r="T119" i="3" s="1"/>
  <c r="U119" i="3" s="1"/>
  <c r="V119" i="3" s="1"/>
  <c r="W119" i="3" s="1"/>
  <c r="X119" i="3" s="1"/>
  <c r="Y119" i="3" s="1"/>
  <c r="Z119" i="3" s="1"/>
  <c r="AA119" i="3" s="1"/>
  <c r="AB119" i="3" s="1"/>
  <c r="AC119" i="3" s="1"/>
  <c r="AD119" i="3" s="1"/>
  <c r="AE119" i="3" s="1"/>
  <c r="AF119" i="3" s="1"/>
  <c r="AG119" i="3" s="1"/>
  <c r="AH119" i="3" s="1"/>
  <c r="AI119" i="3" s="1"/>
  <c r="AJ119" i="3" s="1"/>
  <c r="AK119" i="3" s="1"/>
  <c r="AL119" i="3" s="1"/>
  <c r="AM119" i="3" s="1"/>
  <c r="AN119" i="3" s="1"/>
  <c r="AO119" i="3" s="1"/>
  <c r="AP119" i="3" s="1"/>
  <c r="AQ119" i="3" s="1"/>
  <c r="AR119" i="3" s="1"/>
  <c r="AS119" i="3" s="1"/>
  <c r="AT119" i="3" s="1"/>
  <c r="AU119" i="3" s="1"/>
  <c r="AV119" i="3" s="1"/>
  <c r="AW119" i="3" s="1"/>
  <c r="AX119" i="3" s="1"/>
  <c r="AY119" i="3" s="1"/>
  <c r="AZ119" i="3" s="1"/>
  <c r="BA119" i="3" s="1"/>
  <c r="BB119" i="3" s="1"/>
  <c r="BC119" i="3" s="1"/>
  <c r="BD119" i="3" s="1"/>
  <c r="BE119" i="3" s="1"/>
  <c r="BF119" i="3" s="1"/>
  <c r="BG119" i="3" s="1"/>
  <c r="BH119" i="3" s="1"/>
  <c r="BI119" i="3" s="1"/>
  <c r="W183" i="3"/>
  <c r="AL183" i="3"/>
  <c r="Q183" i="3"/>
  <c r="K103" i="3"/>
  <c r="K95" i="3"/>
  <c r="J176" i="3"/>
  <c r="AY183" i="3"/>
  <c r="K99" i="3"/>
  <c r="AG183" i="3"/>
  <c r="Z183" i="3"/>
  <c r="AV183" i="3"/>
  <c r="N125" i="3"/>
  <c r="AN183" i="3"/>
  <c r="K156" i="3"/>
  <c r="K154" i="3"/>
  <c r="K152" i="3"/>
  <c r="K150" i="3"/>
  <c r="K148" i="3"/>
  <c r="K169" i="3"/>
  <c r="K151" i="3"/>
  <c r="K173" i="3"/>
  <c r="K162" i="3"/>
  <c r="K172" i="3"/>
  <c r="K170" i="3"/>
  <c r="K171" i="3"/>
  <c r="K166" i="3"/>
  <c r="K160" i="3"/>
  <c r="K158" i="3"/>
  <c r="K168" i="3"/>
  <c r="K164" i="3"/>
  <c r="K153" i="3"/>
  <c r="K161" i="3"/>
  <c r="K157" i="3"/>
  <c r="K167" i="3"/>
  <c r="K165" i="3"/>
  <c r="K149" i="3"/>
  <c r="K163" i="3"/>
  <c r="K155" i="3"/>
  <c r="K159" i="3"/>
  <c r="K147" i="3"/>
  <c r="AC183" i="3"/>
  <c r="T183" i="3"/>
  <c r="S183" i="3"/>
  <c r="AQ183" i="3"/>
  <c r="M212" i="3"/>
  <c r="J83" i="3"/>
  <c r="AH183" i="3"/>
  <c r="R183" i="3"/>
  <c r="N183" i="3"/>
  <c r="K94" i="3"/>
  <c r="M125" i="3"/>
  <c r="I30" i="1"/>
  <c r="G33" i="3" s="1"/>
  <c r="I33" i="3" s="1"/>
  <c r="I12" i="3" s="1"/>
  <c r="F33" i="3"/>
  <c r="H33" i="3" s="1"/>
  <c r="M34" i="1"/>
  <c r="E37" i="3" s="1"/>
  <c r="F37" i="3"/>
  <c r="H37" i="3" s="1"/>
  <c r="I34" i="1"/>
  <c r="G37" i="3" s="1"/>
  <c r="I37" i="3" s="1"/>
  <c r="H9" i="1"/>
  <c r="G206" i="1"/>
  <c r="H206" i="1" s="1"/>
  <c r="G207" i="1"/>
  <c r="H207" i="1" s="1"/>
  <c r="M121" i="3" l="1"/>
  <c r="N121" i="3" s="1"/>
  <c r="O121" i="3" s="1"/>
  <c r="P121" i="3" s="1"/>
  <c r="Q121" i="3" s="1"/>
  <c r="R121" i="3" s="1"/>
  <c r="S121" i="3" s="1"/>
  <c r="T121" i="3" s="1"/>
  <c r="U121" i="3" s="1"/>
  <c r="V121" i="3" s="1"/>
  <c r="W121" i="3" s="1"/>
  <c r="X121" i="3" s="1"/>
  <c r="Y121" i="3" s="1"/>
  <c r="Z121" i="3" s="1"/>
  <c r="AA121" i="3" s="1"/>
  <c r="AB121" i="3" s="1"/>
  <c r="AC121" i="3" s="1"/>
  <c r="AD121" i="3" s="1"/>
  <c r="AE121" i="3" s="1"/>
  <c r="AF121" i="3" s="1"/>
  <c r="AG121" i="3" s="1"/>
  <c r="AH121" i="3" s="1"/>
  <c r="AI121" i="3" s="1"/>
  <c r="AJ121" i="3" s="1"/>
  <c r="AK121" i="3" s="1"/>
  <c r="AL121" i="3" s="1"/>
  <c r="AM121" i="3" s="1"/>
  <c r="AN121" i="3" s="1"/>
  <c r="AO121" i="3" s="1"/>
  <c r="AP121" i="3" s="1"/>
  <c r="AQ121" i="3" s="1"/>
  <c r="AR121" i="3" s="1"/>
  <c r="AS121" i="3" s="1"/>
  <c r="AT121" i="3" s="1"/>
  <c r="AU121" i="3" s="1"/>
  <c r="AV121" i="3" s="1"/>
  <c r="AW121" i="3" s="1"/>
  <c r="AX121" i="3" s="1"/>
  <c r="AY121" i="3" s="1"/>
  <c r="AZ121" i="3" s="1"/>
  <c r="BA121" i="3" s="1"/>
  <c r="BB121" i="3" s="1"/>
  <c r="BC121" i="3" s="1"/>
  <c r="BD121" i="3" s="1"/>
  <c r="BE121" i="3" s="1"/>
  <c r="BF121" i="3" s="1"/>
  <c r="BG121" i="3" s="1"/>
  <c r="BH121" i="3" s="1"/>
  <c r="BI121" i="3" s="1"/>
  <c r="M184" i="3"/>
  <c r="N184" i="3" s="1"/>
  <c r="O184" i="3" s="1"/>
  <c r="P184" i="3" s="1"/>
  <c r="Q184" i="3" s="1"/>
  <c r="R184" i="3" s="1"/>
  <c r="S184" i="3" s="1"/>
  <c r="T184" i="3" s="1"/>
  <c r="U184" i="3" s="1"/>
  <c r="V184" i="3" s="1"/>
  <c r="W184" i="3" s="1"/>
  <c r="X184" i="3" s="1"/>
  <c r="Y184" i="3" s="1"/>
  <c r="Z184" i="3" s="1"/>
  <c r="AA184" i="3" s="1"/>
  <c r="AB184" i="3" s="1"/>
  <c r="AC184" i="3" s="1"/>
  <c r="AD184" i="3" s="1"/>
  <c r="AE184" i="3" s="1"/>
  <c r="AF184" i="3" s="1"/>
  <c r="AG184" i="3" s="1"/>
  <c r="AH184" i="3" s="1"/>
  <c r="AI184" i="3" s="1"/>
  <c r="AJ184" i="3" s="1"/>
  <c r="AK184" i="3" s="1"/>
  <c r="AL184" i="3" s="1"/>
  <c r="AM184" i="3" s="1"/>
  <c r="AN184" i="3" s="1"/>
  <c r="AO184" i="3" s="1"/>
  <c r="AP184" i="3" s="1"/>
  <c r="AQ184" i="3" s="1"/>
  <c r="AR184" i="3" s="1"/>
  <c r="AS184" i="3" s="1"/>
  <c r="AT184" i="3" s="1"/>
  <c r="AU184" i="3" s="1"/>
  <c r="AV184" i="3" s="1"/>
  <c r="AW184" i="3" s="1"/>
  <c r="AX184" i="3" s="1"/>
  <c r="AY184" i="3" s="1"/>
  <c r="AZ184" i="3" s="1"/>
  <c r="BA184" i="3" s="1"/>
  <c r="BB184" i="3" s="1"/>
  <c r="BC184" i="3" s="1"/>
  <c r="BD184" i="3" s="1"/>
  <c r="BE184" i="3" s="1"/>
  <c r="BF184" i="3" s="1"/>
  <c r="BG184" i="3" s="1"/>
  <c r="BH184" i="3" s="1"/>
  <c r="BI184" i="3" s="1"/>
  <c r="M126" i="3"/>
  <c r="N126" i="3" s="1"/>
  <c r="O126" i="3" s="1"/>
  <c r="P126" i="3" s="1"/>
  <c r="Q126" i="3" s="1"/>
  <c r="R126" i="3" s="1"/>
  <c r="S126" i="3" s="1"/>
  <c r="T126" i="3" s="1"/>
  <c r="U126" i="3" s="1"/>
  <c r="V126" i="3" s="1"/>
  <c r="W126" i="3" s="1"/>
  <c r="X126" i="3" s="1"/>
  <c r="Y126" i="3" s="1"/>
  <c r="Z126" i="3" s="1"/>
  <c r="AA126" i="3" s="1"/>
  <c r="AB126" i="3" s="1"/>
  <c r="AC126" i="3" s="1"/>
  <c r="AD126" i="3" s="1"/>
  <c r="AE126" i="3" s="1"/>
  <c r="AF126" i="3" s="1"/>
  <c r="AG126" i="3" s="1"/>
  <c r="AH126" i="3" s="1"/>
  <c r="AI126" i="3" s="1"/>
  <c r="AJ126" i="3" s="1"/>
  <c r="AK126" i="3" s="1"/>
  <c r="AL126" i="3" s="1"/>
  <c r="AM126" i="3" s="1"/>
  <c r="AN126" i="3" s="1"/>
  <c r="AO126" i="3" s="1"/>
  <c r="AP126" i="3" s="1"/>
  <c r="AQ126" i="3" s="1"/>
  <c r="AR126" i="3" s="1"/>
  <c r="AS126" i="3" s="1"/>
  <c r="AT126" i="3" s="1"/>
  <c r="AU126" i="3" s="1"/>
  <c r="AV126" i="3" s="1"/>
  <c r="AW126" i="3" s="1"/>
  <c r="AX126" i="3" s="1"/>
  <c r="AY126" i="3" s="1"/>
  <c r="AZ126" i="3" s="1"/>
  <c r="BA126" i="3" s="1"/>
  <c r="BB126" i="3" s="1"/>
  <c r="BC126" i="3" s="1"/>
  <c r="BD126" i="3" s="1"/>
  <c r="BE126" i="3" s="1"/>
  <c r="BF126" i="3" s="1"/>
  <c r="BG126" i="3" s="1"/>
  <c r="BH126" i="3" s="1"/>
  <c r="BI126" i="3" s="1"/>
  <c r="I9" i="1"/>
  <c r="I8" i="1" s="1"/>
  <c r="G11" i="3" s="1"/>
  <c r="J118" i="3"/>
  <c r="K123" i="3"/>
  <c r="H8" i="1"/>
  <c r="F11" i="3" s="1"/>
  <c r="F12" i="3"/>
  <c r="H12" i="3"/>
  <c r="H42" i="3" s="1"/>
  <c r="G12" i="3"/>
  <c r="D11" i="3"/>
  <c r="L228" i="3"/>
  <c r="I11" i="3"/>
  <c r="I47" i="3"/>
  <c r="I328" i="3" s="1"/>
  <c r="G209" i="1"/>
  <c r="H209" i="1" s="1"/>
  <c r="G208" i="1"/>
  <c r="H208" i="1" s="1"/>
  <c r="K310" i="3" l="1"/>
  <c r="BJ310" i="3" s="1"/>
  <c r="J310" i="3"/>
  <c r="H323" i="3"/>
  <c r="AN330" i="3"/>
  <c r="AL330" i="3"/>
  <c r="BD330" i="3"/>
  <c r="BE330" i="3"/>
  <c r="AU330" i="3"/>
  <c r="AS330" i="3"/>
  <c r="BG330" i="3"/>
  <c r="AJ330" i="3"/>
  <c r="AR330" i="3"/>
  <c r="AQ330" i="3"/>
  <c r="AZ330" i="3"/>
  <c r="AV330" i="3"/>
  <c r="BF330" i="3"/>
  <c r="BC330" i="3"/>
  <c r="AK330" i="3"/>
  <c r="AX330" i="3"/>
  <c r="AY330" i="3"/>
  <c r="AW330" i="3"/>
  <c r="AP330" i="3"/>
  <c r="BH330" i="3"/>
  <c r="BB330" i="3"/>
  <c r="AT330" i="3"/>
  <c r="AM330" i="3"/>
  <c r="AO330" i="3"/>
  <c r="BA330" i="3"/>
  <c r="H11" i="3"/>
  <c r="M228" i="3"/>
  <c r="N228" i="3" s="1"/>
  <c r="O228" i="3" s="1"/>
  <c r="P228" i="3" s="1"/>
  <c r="Q228" i="3" s="1"/>
  <c r="R228" i="3" s="1"/>
  <c r="S228" i="3" s="1"/>
  <c r="T228" i="3" s="1"/>
  <c r="U228" i="3" s="1"/>
  <c r="V228" i="3" s="1"/>
  <c r="W228" i="3" s="1"/>
  <c r="X228" i="3" s="1"/>
  <c r="Y228" i="3" s="1"/>
  <c r="Z228" i="3" s="1"/>
  <c r="AA228" i="3" s="1"/>
  <c r="AB228" i="3" s="1"/>
  <c r="AC228" i="3" s="1"/>
  <c r="AD228" i="3" s="1"/>
  <c r="AE228" i="3" s="1"/>
  <c r="AF228" i="3" s="1"/>
  <c r="AG228" i="3" s="1"/>
  <c r="AH228" i="3" s="1"/>
  <c r="AI228" i="3" s="1"/>
  <c r="AJ228" i="3" s="1"/>
  <c r="AK228" i="3" s="1"/>
  <c r="AL228" i="3" s="1"/>
  <c r="AM228" i="3" s="1"/>
  <c r="AN228" i="3" s="1"/>
  <c r="AO228" i="3" s="1"/>
  <c r="AP228" i="3" s="1"/>
  <c r="AQ228" i="3" s="1"/>
  <c r="AR228" i="3" s="1"/>
  <c r="AS228" i="3" s="1"/>
  <c r="AT228" i="3" s="1"/>
  <c r="AU228" i="3" s="1"/>
  <c r="AV228" i="3" s="1"/>
  <c r="AW228" i="3" s="1"/>
  <c r="AX228" i="3" s="1"/>
  <c r="AY228" i="3" s="1"/>
  <c r="AZ228" i="3" s="1"/>
  <c r="BA228" i="3" s="1"/>
  <c r="BB228" i="3" s="1"/>
  <c r="BC228" i="3" s="1"/>
  <c r="BD228" i="3" s="1"/>
  <c r="BE228" i="3" s="1"/>
  <c r="BF228" i="3" s="1"/>
  <c r="BG228" i="3" s="1"/>
  <c r="BH228" i="3" s="1"/>
  <c r="BI228" i="3" s="1"/>
  <c r="K293" i="3"/>
  <c r="BJ293" i="3" s="1"/>
  <c r="J293" i="3"/>
  <c r="K276" i="3"/>
  <c r="BJ276" i="3" s="1"/>
  <c r="J276" i="3"/>
  <c r="J256" i="3"/>
  <c r="K256" i="3"/>
  <c r="BJ256" i="3" s="1"/>
  <c r="K223" i="3"/>
  <c r="BJ223" i="3" s="1"/>
  <c r="J223" i="3"/>
  <c r="M215" i="3"/>
  <c r="K207" i="3"/>
  <c r="BJ207" i="3" s="1"/>
  <c r="J207" i="3"/>
  <c r="K174" i="3"/>
  <c r="BJ174" i="3" s="1"/>
  <c r="J174" i="3"/>
  <c r="K133" i="3"/>
  <c r="BJ133" i="3" s="1"/>
  <c r="J133" i="3"/>
  <c r="K12" i="3"/>
  <c r="M124" i="3"/>
  <c r="N124" i="3" s="1"/>
  <c r="O124" i="3" s="1"/>
  <c r="P124" i="3" s="1"/>
  <c r="Q124" i="3" s="1"/>
  <c r="R124" i="3" s="1"/>
  <c r="S124" i="3" s="1"/>
  <c r="T124" i="3" s="1"/>
  <c r="U124" i="3" s="1"/>
  <c r="V124" i="3" s="1"/>
  <c r="W124" i="3" s="1"/>
  <c r="X124" i="3" s="1"/>
  <c r="Y124" i="3" s="1"/>
  <c r="Z124" i="3" s="1"/>
  <c r="AA124" i="3" s="1"/>
  <c r="AB124" i="3" s="1"/>
  <c r="AC124" i="3" s="1"/>
  <c r="AD124" i="3" s="1"/>
  <c r="AE124" i="3" s="1"/>
  <c r="AF124" i="3" s="1"/>
  <c r="AG124" i="3" s="1"/>
  <c r="AH124" i="3" s="1"/>
  <c r="AI124" i="3" s="1"/>
  <c r="AJ124" i="3" s="1"/>
  <c r="AK124" i="3" s="1"/>
  <c r="AL124" i="3" s="1"/>
  <c r="AM124" i="3" s="1"/>
  <c r="AN124" i="3" s="1"/>
  <c r="AO124" i="3" s="1"/>
  <c r="AP124" i="3" s="1"/>
  <c r="AQ124" i="3" s="1"/>
  <c r="AR124" i="3" s="1"/>
  <c r="AS124" i="3" s="1"/>
  <c r="AT124" i="3" s="1"/>
  <c r="AU124" i="3" s="1"/>
  <c r="AV124" i="3" s="1"/>
  <c r="AW124" i="3" s="1"/>
  <c r="AX124" i="3" s="1"/>
  <c r="AY124" i="3" s="1"/>
  <c r="AZ124" i="3" s="1"/>
  <c r="BA124" i="3" s="1"/>
  <c r="BB124" i="3" s="1"/>
  <c r="BC124" i="3" s="1"/>
  <c r="BD124" i="3" s="1"/>
  <c r="BE124" i="3" s="1"/>
  <c r="BF124" i="3" s="1"/>
  <c r="BG124" i="3" s="1"/>
  <c r="BH124" i="3" s="1"/>
  <c r="BI124" i="3" s="1"/>
  <c r="J12" i="3"/>
  <c r="K116" i="3"/>
  <c r="BJ116" i="3" s="1"/>
  <c r="J116" i="3"/>
  <c r="M47" i="3"/>
  <c r="L47" i="3"/>
  <c r="L42" i="3"/>
  <c r="L323" i="3" s="1"/>
  <c r="J37" i="3"/>
  <c r="K81" i="3"/>
  <c r="BJ81" i="3" s="1"/>
  <c r="J81" i="3"/>
  <c r="L86" i="3"/>
  <c r="M86" i="3" s="1"/>
  <c r="K37" i="3"/>
  <c r="M91" i="3"/>
  <c r="M42" i="3"/>
  <c r="M323" i="3" s="1"/>
  <c r="M325" i="3" s="1"/>
  <c r="K11" i="3"/>
  <c r="J39" i="3"/>
  <c r="J26" i="3"/>
  <c r="J27" i="3"/>
  <c r="J25" i="3"/>
  <c r="J16" i="3"/>
  <c r="J17" i="3"/>
  <c r="J14" i="3"/>
  <c r="J24" i="3"/>
  <c r="J34" i="3"/>
  <c r="J20" i="3"/>
  <c r="J21" i="3"/>
  <c r="J22" i="3"/>
  <c r="J36" i="3"/>
  <c r="J33" i="3"/>
  <c r="J40" i="3"/>
  <c r="J29" i="3"/>
  <c r="J28" i="3"/>
  <c r="J32" i="3"/>
  <c r="J13" i="3"/>
  <c r="J35" i="3"/>
  <c r="J30" i="3"/>
  <c r="J31" i="3"/>
  <c r="K40" i="3"/>
  <c r="BJ40" i="3" s="1"/>
  <c r="J18" i="3"/>
  <c r="J15" i="3"/>
  <c r="J23" i="3"/>
  <c r="J19" i="3"/>
  <c r="K16" i="3"/>
  <c r="K33" i="3"/>
  <c r="K24" i="3"/>
  <c r="K20" i="3"/>
  <c r="K29" i="3"/>
  <c r="K34" i="3"/>
  <c r="K19" i="3"/>
  <c r="K30" i="3"/>
  <c r="K17" i="3"/>
  <c r="K35" i="3"/>
  <c r="K25" i="3"/>
  <c r="K38" i="3"/>
  <c r="K15" i="3"/>
  <c r="K18" i="3"/>
  <c r="K13" i="3"/>
  <c r="K36" i="3"/>
  <c r="K27" i="3"/>
  <c r="K23" i="3"/>
  <c r="K32" i="3"/>
  <c r="K26" i="3"/>
  <c r="K39" i="3"/>
  <c r="K31" i="3"/>
  <c r="K28" i="3"/>
  <c r="K21" i="3"/>
  <c r="K22" i="3"/>
  <c r="K14" i="3"/>
  <c r="G212" i="1"/>
  <c r="H212" i="1" s="1"/>
  <c r="G210" i="1"/>
  <c r="H210" i="1" s="1"/>
  <c r="G213" i="1"/>
  <c r="H213" i="1" s="1"/>
  <c r="G211" i="1"/>
  <c r="H211" i="1" s="1"/>
  <c r="M11" i="1"/>
  <c r="E14" i="3" s="1"/>
  <c r="M19" i="1"/>
  <c r="E22" i="3" s="1"/>
  <c r="M20" i="1"/>
  <c r="E23" i="3" s="1"/>
  <c r="M29" i="1"/>
  <c r="E32" i="3" s="1"/>
  <c r="N9" i="1"/>
  <c r="M9" i="1" s="1"/>
  <c r="E12" i="3" s="1"/>
  <c r="M30" i="1"/>
  <c r="E33" i="3" s="1"/>
  <c r="P328" i="3" l="1"/>
  <c r="P330" i="3" s="1"/>
  <c r="AA323" i="3"/>
  <c r="AA325" i="3" s="1"/>
  <c r="V323" i="3"/>
  <c r="V325" i="3" s="1"/>
  <c r="S328" i="3"/>
  <c r="S330" i="3" s="1"/>
  <c r="AH328" i="3"/>
  <c r="AH330" i="3" s="1"/>
  <c r="L48" i="3"/>
  <c r="L328" i="3"/>
  <c r="AI328" i="3"/>
  <c r="AI330" i="3" s="1"/>
  <c r="Z323" i="3"/>
  <c r="Z325" i="3" s="1"/>
  <c r="Z328" i="3"/>
  <c r="Z330" i="3" s="1"/>
  <c r="Y328" i="3"/>
  <c r="Y330" i="3" s="1"/>
  <c r="AC328" i="3"/>
  <c r="AC330" i="3" s="1"/>
  <c r="AD323" i="3"/>
  <c r="AD325" i="3" s="1"/>
  <c r="AE323" i="3"/>
  <c r="AE325" i="3" s="1"/>
  <c r="AB323" i="3"/>
  <c r="AB325" i="3" s="1"/>
  <c r="AA328" i="3"/>
  <c r="AA330" i="3" s="1"/>
  <c r="BI323" i="3"/>
  <c r="BI325" i="3" s="1"/>
  <c r="AG323" i="3"/>
  <c r="AG325" i="3" s="1"/>
  <c r="AC323" i="3"/>
  <c r="AC325" i="3" s="1"/>
  <c r="R328" i="3"/>
  <c r="AE328" i="3"/>
  <c r="AE330" i="3" s="1"/>
  <c r="U328" i="3"/>
  <c r="U330" i="3" s="1"/>
  <c r="V328" i="3"/>
  <c r="V330" i="3" s="1"/>
  <c r="L325" i="3"/>
  <c r="L326" i="3" s="1"/>
  <c r="M326" i="3" s="1"/>
  <c r="L324" i="3"/>
  <c r="M324" i="3" s="1"/>
  <c r="N328" i="3"/>
  <c r="N330" i="3" s="1"/>
  <c r="AH323" i="3"/>
  <c r="AH325" i="3" s="1"/>
  <c r="BI328" i="3"/>
  <c r="BI330" i="3" s="1"/>
  <c r="Q328" i="3"/>
  <c r="Q330" i="3" s="1"/>
  <c r="W328" i="3"/>
  <c r="W330" i="3" s="1"/>
  <c r="M49" i="3"/>
  <c r="M328" i="3"/>
  <c r="M330" i="3" s="1"/>
  <c r="BD325" i="3"/>
  <c r="AV325" i="3"/>
  <c r="BC325" i="3"/>
  <c r="BG325" i="3"/>
  <c r="BF325" i="3"/>
  <c r="AP325" i="3"/>
  <c r="AZ325" i="3"/>
  <c r="AY325" i="3"/>
  <c r="AU325" i="3"/>
  <c r="BE325" i="3"/>
  <c r="AW325" i="3"/>
  <c r="BB325" i="3"/>
  <c r="AS325" i="3"/>
  <c r="AX325" i="3"/>
  <c r="AR325" i="3"/>
  <c r="AO325" i="3"/>
  <c r="AQ325" i="3"/>
  <c r="AJ325" i="3"/>
  <c r="BH325" i="3"/>
  <c r="AT325" i="3"/>
  <c r="AL325" i="3"/>
  <c r="BA325" i="3"/>
  <c r="AN325" i="3"/>
  <c r="AM325" i="3"/>
  <c r="AK325" i="3"/>
  <c r="AB328" i="3"/>
  <c r="AB330" i="3" s="1"/>
  <c r="AG328" i="3"/>
  <c r="AG330" i="3" s="1"/>
  <c r="O328" i="3"/>
  <c r="O330" i="3" s="1"/>
  <c r="X328" i="3"/>
  <c r="X330" i="3" s="1"/>
  <c r="X323" i="3"/>
  <c r="X325" i="3" s="1"/>
  <c r="R323" i="3"/>
  <c r="R325" i="3" s="1"/>
  <c r="T328" i="3"/>
  <c r="T330" i="3" s="1"/>
  <c r="AF328" i="3"/>
  <c r="AF330" i="3" s="1"/>
  <c r="AD328" i="3"/>
  <c r="AD330" i="3" s="1"/>
  <c r="J11" i="3"/>
  <c r="L44" i="3"/>
  <c r="L45" i="3" s="1"/>
  <c r="M44" i="3"/>
  <c r="L49" i="3"/>
  <c r="L50" i="3" s="1"/>
  <c r="M48" i="3"/>
  <c r="J42" i="3"/>
  <c r="L43" i="3" s="1"/>
  <c r="M43" i="3" s="1"/>
  <c r="K47" i="3"/>
  <c r="N323" i="3" l="1"/>
  <c r="N325" i="3" s="1"/>
  <c r="N326" i="3" s="1"/>
  <c r="T323" i="3"/>
  <c r="T325" i="3" s="1"/>
  <c r="S323" i="3"/>
  <c r="S325" i="3" s="1"/>
  <c r="N324" i="3"/>
  <c r="R330" i="3"/>
  <c r="AI323" i="3"/>
  <c r="AI325" i="3" s="1"/>
  <c r="P323" i="3"/>
  <c r="P325" i="3" s="1"/>
  <c r="O323" i="3"/>
  <c r="O325" i="3" s="1"/>
  <c r="Q323" i="3"/>
  <c r="Q325" i="3" s="1"/>
  <c r="L330" i="3"/>
  <c r="L331" i="3" s="1"/>
  <c r="L329" i="3"/>
  <c r="M329" i="3" s="1"/>
  <c r="N329" i="3" s="1"/>
  <c r="O329" i="3" s="1"/>
  <c r="P329" i="3" s="1"/>
  <c r="Q329" i="3" s="1"/>
  <c r="R329" i="3" s="1"/>
  <c r="S329" i="3" s="1"/>
  <c r="T329" i="3" s="1"/>
  <c r="U329" i="3" s="1"/>
  <c r="V329" i="3" s="1"/>
  <c r="W329" i="3" s="1"/>
  <c r="X329" i="3" s="1"/>
  <c r="Y329" i="3" s="1"/>
  <c r="Z329" i="3" s="1"/>
  <c r="AA329" i="3" s="1"/>
  <c r="AB329" i="3" s="1"/>
  <c r="AC329" i="3" s="1"/>
  <c r="AD329" i="3" s="1"/>
  <c r="AE329" i="3" s="1"/>
  <c r="AF329" i="3" s="1"/>
  <c r="AG329" i="3" s="1"/>
  <c r="AH329" i="3" s="1"/>
  <c r="AI329" i="3" s="1"/>
  <c r="AJ329" i="3" s="1"/>
  <c r="AK329" i="3" s="1"/>
  <c r="AL329" i="3" s="1"/>
  <c r="AM329" i="3" s="1"/>
  <c r="AN329" i="3" s="1"/>
  <c r="AO329" i="3" s="1"/>
  <c r="AP329" i="3" s="1"/>
  <c r="AQ329" i="3" s="1"/>
  <c r="AR329" i="3" s="1"/>
  <c r="AS329" i="3" s="1"/>
  <c r="AT329" i="3" s="1"/>
  <c r="AU329" i="3" s="1"/>
  <c r="AV329" i="3" s="1"/>
  <c r="AW329" i="3" s="1"/>
  <c r="AX329" i="3" s="1"/>
  <c r="AY329" i="3" s="1"/>
  <c r="AZ329" i="3" s="1"/>
  <c r="BA329" i="3" s="1"/>
  <c r="BB329" i="3" s="1"/>
  <c r="BC329" i="3" s="1"/>
  <c r="BD329" i="3" s="1"/>
  <c r="BE329" i="3" s="1"/>
  <c r="BF329" i="3" s="1"/>
  <c r="BG329" i="3" s="1"/>
  <c r="BH329" i="3" s="1"/>
  <c r="BI329" i="3" s="1"/>
  <c r="U323" i="3"/>
  <c r="U325" i="3" s="1"/>
  <c r="Y323" i="3"/>
  <c r="M331" i="3"/>
  <c r="N331" i="3" s="1"/>
  <c r="O331" i="3" s="1"/>
  <c r="P331" i="3" s="1"/>
  <c r="Q331" i="3" s="1"/>
  <c r="AF323" i="3"/>
  <c r="AF325" i="3" s="1"/>
  <c r="W323" i="3"/>
  <c r="W325" i="3" s="1"/>
  <c r="M45" i="3"/>
  <c r="M50" i="3"/>
  <c r="R331" i="3" l="1"/>
  <c r="S331" i="3" s="1"/>
  <c r="T331" i="3" s="1"/>
  <c r="U331" i="3" s="1"/>
  <c r="V331" i="3" s="1"/>
  <c r="W331" i="3" s="1"/>
  <c r="X331" i="3" s="1"/>
  <c r="Y331" i="3" s="1"/>
  <c r="Z331" i="3" s="1"/>
  <c r="AA331" i="3" s="1"/>
  <c r="AB331" i="3" s="1"/>
  <c r="AC331" i="3" s="1"/>
  <c r="AD331" i="3" s="1"/>
  <c r="AE331" i="3" s="1"/>
  <c r="AF331" i="3" s="1"/>
  <c r="AG331" i="3" s="1"/>
  <c r="AH331" i="3" s="1"/>
  <c r="AI331" i="3" s="1"/>
  <c r="AJ331" i="3" s="1"/>
  <c r="AK331" i="3" s="1"/>
  <c r="AL331" i="3" s="1"/>
  <c r="AM331" i="3" s="1"/>
  <c r="AN331" i="3" s="1"/>
  <c r="AO331" i="3" s="1"/>
  <c r="AP331" i="3" s="1"/>
  <c r="AQ331" i="3" s="1"/>
  <c r="AR331" i="3" s="1"/>
  <c r="AS331" i="3" s="1"/>
  <c r="AT331" i="3" s="1"/>
  <c r="AU331" i="3" s="1"/>
  <c r="AV331" i="3" s="1"/>
  <c r="AW331" i="3" s="1"/>
  <c r="AX331" i="3" s="1"/>
  <c r="AY331" i="3" s="1"/>
  <c r="AZ331" i="3" s="1"/>
  <c r="BA331" i="3" s="1"/>
  <c r="BB331" i="3" s="1"/>
  <c r="BC331" i="3" s="1"/>
  <c r="BD331" i="3" s="1"/>
  <c r="BE331" i="3" s="1"/>
  <c r="BF331" i="3" s="1"/>
  <c r="BG331" i="3" s="1"/>
  <c r="BH331" i="3" s="1"/>
  <c r="BI331" i="3" s="1"/>
  <c r="Y325" i="3"/>
  <c r="O324" i="3"/>
  <c r="P324" i="3" s="1"/>
  <c r="Q324" i="3" s="1"/>
  <c r="R324" i="3" s="1"/>
  <c r="S324" i="3" s="1"/>
  <c r="T324" i="3" s="1"/>
  <c r="U324" i="3" s="1"/>
  <c r="V324" i="3" s="1"/>
  <c r="W324" i="3" s="1"/>
  <c r="X324" i="3" s="1"/>
  <c r="Y324" i="3" s="1"/>
  <c r="Z324" i="3" s="1"/>
  <c r="AA324" i="3" s="1"/>
  <c r="AB324" i="3" s="1"/>
  <c r="AC324" i="3" s="1"/>
  <c r="AD324" i="3" s="1"/>
  <c r="AE324" i="3" s="1"/>
  <c r="AF324" i="3" s="1"/>
  <c r="AG324" i="3" s="1"/>
  <c r="AH324" i="3" s="1"/>
  <c r="AI324" i="3" s="1"/>
  <c r="AJ324" i="3" s="1"/>
  <c r="AK324" i="3" s="1"/>
  <c r="AL324" i="3" s="1"/>
  <c r="AM324" i="3" s="1"/>
  <c r="AN324" i="3" s="1"/>
  <c r="AO324" i="3" s="1"/>
  <c r="AP324" i="3" s="1"/>
  <c r="AQ324" i="3" s="1"/>
  <c r="AR324" i="3" s="1"/>
  <c r="AS324" i="3" s="1"/>
  <c r="AT324" i="3" s="1"/>
  <c r="AU324" i="3" s="1"/>
  <c r="AV324" i="3" s="1"/>
  <c r="AW324" i="3" s="1"/>
  <c r="AX324" i="3" s="1"/>
  <c r="AY324" i="3" s="1"/>
  <c r="AZ324" i="3" s="1"/>
  <c r="BA324" i="3" s="1"/>
  <c r="BB324" i="3" s="1"/>
  <c r="BC324" i="3" s="1"/>
  <c r="BD324" i="3" s="1"/>
  <c r="BE324" i="3" s="1"/>
  <c r="BF324" i="3" s="1"/>
  <c r="BG324" i="3" s="1"/>
  <c r="BH324" i="3" s="1"/>
  <c r="BI324" i="3" s="1"/>
  <c r="O326" i="3"/>
  <c r="P326" i="3" s="1"/>
  <c r="Q326" i="3" s="1"/>
  <c r="R326" i="3" s="1"/>
  <c r="S326" i="3" s="1"/>
  <c r="T326" i="3" s="1"/>
  <c r="U326" i="3" s="1"/>
  <c r="V326" i="3" s="1"/>
  <c r="W326" i="3" s="1"/>
  <c r="X326" i="3" s="1"/>
  <c r="Y326" i="3" s="1"/>
  <c r="Z326" i="3" s="1"/>
  <c r="AA326" i="3" s="1"/>
  <c r="AB326" i="3" s="1"/>
  <c r="AC326" i="3" s="1"/>
  <c r="AD326" i="3" s="1"/>
  <c r="AE326" i="3" s="1"/>
  <c r="AF326" i="3" s="1"/>
  <c r="AG326" i="3" s="1"/>
  <c r="AH326" i="3" s="1"/>
  <c r="AI326" i="3" s="1"/>
  <c r="AJ326" i="3" s="1"/>
  <c r="AK326" i="3" s="1"/>
  <c r="AL326" i="3" s="1"/>
  <c r="AM326" i="3" s="1"/>
  <c r="AN326" i="3" s="1"/>
  <c r="AO326" i="3" s="1"/>
  <c r="AP326" i="3" s="1"/>
  <c r="AQ326" i="3" s="1"/>
  <c r="AR326" i="3" s="1"/>
  <c r="AS326" i="3" s="1"/>
  <c r="AT326" i="3" s="1"/>
  <c r="AU326" i="3" s="1"/>
  <c r="AV326" i="3" s="1"/>
  <c r="AW326" i="3" s="1"/>
  <c r="AX326" i="3" s="1"/>
  <c r="AY326" i="3" s="1"/>
  <c r="AZ326" i="3" s="1"/>
  <c r="BA326" i="3" s="1"/>
  <c r="BB326" i="3" s="1"/>
  <c r="BC326" i="3" s="1"/>
  <c r="BD326" i="3" s="1"/>
  <c r="BE326" i="3" s="1"/>
  <c r="BF326" i="3" s="1"/>
  <c r="BG326" i="3" s="1"/>
  <c r="BH326" i="3" s="1"/>
  <c r="BI326" i="3" s="1"/>
</calcChain>
</file>

<file path=xl/sharedStrings.xml><?xml version="1.0" encoding="utf-8"?>
<sst xmlns="http://schemas.openxmlformats.org/spreadsheetml/2006/main" count="881" uniqueCount="378">
  <si>
    <t>DIVISÃO DE AREAS PARA TORRES</t>
  </si>
  <si>
    <t>ITEM</t>
  </si>
  <si>
    <t>Empreendimento Incorporadora</t>
  </si>
  <si>
    <t>Área privativa(AP) (m²)</t>
  </si>
  <si>
    <t>Área total geral(AT) (m²)</t>
  </si>
  <si>
    <t>Área do terreno (m²)</t>
  </si>
  <si>
    <t>N° unidades</t>
  </si>
  <si>
    <t>Domum Bild</t>
  </si>
  <si>
    <t>GrandVerse Place Perplan</t>
  </si>
  <si>
    <t>Casa'Alta Perplan</t>
  </si>
  <si>
    <t>Nuage Perplan</t>
  </si>
  <si>
    <t>Solei Inconew</t>
  </si>
  <si>
    <t>Tramonto Maxi</t>
  </si>
  <si>
    <t>Grecco Maxi</t>
  </si>
  <si>
    <t>Liwo Working e Living Maxi</t>
  </si>
  <si>
    <t>TERRENO</t>
  </si>
  <si>
    <t>EDIFICIOS</t>
  </si>
  <si>
    <t>Mall</t>
  </si>
  <si>
    <t>AL'DORA PARK</t>
  </si>
  <si>
    <t>Q. AP 01</t>
  </si>
  <si>
    <t>Q. AP 02</t>
  </si>
  <si>
    <t>Q. AP 03</t>
  </si>
  <si>
    <t>Q. AP 04</t>
  </si>
  <si>
    <t>Q. AP 05</t>
  </si>
  <si>
    <t>Q. AP 06</t>
  </si>
  <si>
    <t>Q. AP 07</t>
  </si>
  <si>
    <t>Q. AP 08</t>
  </si>
  <si>
    <t>Q. AP 09</t>
  </si>
  <si>
    <t>Q. AP 10</t>
  </si>
  <si>
    <t>Q. AP 11</t>
  </si>
  <si>
    <t>Q. AP 12</t>
  </si>
  <si>
    <t>Resid. com fachada ativa</t>
  </si>
  <si>
    <t>Residencial</t>
  </si>
  <si>
    <t>Resid. Corpor.</t>
  </si>
  <si>
    <t>Área publica</t>
  </si>
  <si>
    <t>Área gleba</t>
  </si>
  <si>
    <t>AV</t>
  </si>
  <si>
    <t>AI</t>
  </si>
  <si>
    <t>CONCEITOS</t>
  </si>
  <si>
    <t>Al'Dora Town - ate 20 torres</t>
  </si>
  <si>
    <t>Al'Dora Park - acima 20 torres</t>
  </si>
  <si>
    <t>AL'DORA TOWN</t>
  </si>
  <si>
    <t>AL'DORA TOWN - VERSAILLES</t>
  </si>
  <si>
    <t>1.0</t>
  </si>
  <si>
    <t>QC01</t>
  </si>
  <si>
    <t>LT01</t>
  </si>
  <si>
    <t>LT02</t>
  </si>
  <si>
    <t>LT10</t>
  </si>
  <si>
    <t>LT11</t>
  </si>
  <si>
    <t>LT20</t>
  </si>
  <si>
    <t>LT21</t>
  </si>
  <si>
    <t>unid.</t>
  </si>
  <si>
    <t>QUADRAS / LOTE</t>
  </si>
  <si>
    <t>2.0</t>
  </si>
  <si>
    <t>3.0</t>
  </si>
  <si>
    <t>QC02</t>
  </si>
  <si>
    <t>QC03</t>
  </si>
  <si>
    <t>área média</t>
  </si>
  <si>
    <t>área média apto.</t>
  </si>
  <si>
    <t>apto. / andar</t>
  </si>
  <si>
    <t>nº de pav.</t>
  </si>
  <si>
    <t>11.000,00 de  uso em fachadas ativas nos núcleos, ou opção Mall 5.000,00 restantes e fachadas ativas</t>
  </si>
  <si>
    <t>ÁREAS</t>
  </si>
  <si>
    <t>privativa</t>
  </si>
  <si>
    <t>construída</t>
  </si>
  <si>
    <t>% aprov.</t>
  </si>
  <si>
    <t>coef. considerado</t>
  </si>
  <si>
    <t>uso</t>
  </si>
  <si>
    <t>área</t>
  </si>
  <si>
    <t>n°</t>
  </si>
  <si>
    <t>Data: 03/11/25</t>
  </si>
  <si>
    <t>Master Plan - Rev06</t>
  </si>
  <si>
    <t>4.0</t>
  </si>
  <si>
    <t>Park</t>
  </si>
  <si>
    <t>coef. restrição</t>
  </si>
  <si>
    <t>COEFICIENTE URBANISTICO</t>
  </si>
  <si>
    <t>JARDIM CHAMBORD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</si>
  <si>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</si>
  <si>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</si>
  <si>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</si>
  <si>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</si>
  <si>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</si>
  <si>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</si>
  <si>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</si>
  <si>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</si>
  <si>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</si>
  <si>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</si>
  <si>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</si>
  <si>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</si>
  <si>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Residencial unifamiliar</t>
  </si>
  <si>
    <t>JC</t>
  </si>
  <si>
    <t>QAT01</t>
  </si>
  <si>
    <t>QAT02</t>
  </si>
  <si>
    <t>Escola Infantil</t>
  </si>
  <si>
    <t>Corporativo</t>
  </si>
  <si>
    <t>Escola Fundamental</t>
  </si>
  <si>
    <t>Ref. Torre sul</t>
  </si>
  <si>
    <t>Ref. Gabarito</t>
  </si>
  <si>
    <t>Ref. FNDE</t>
  </si>
  <si>
    <t>QAT03</t>
  </si>
  <si>
    <t>QAT04</t>
  </si>
  <si>
    <t>QAT05</t>
  </si>
  <si>
    <t>QAP01</t>
  </si>
  <si>
    <t>QAP02</t>
  </si>
  <si>
    <t>QAP03</t>
  </si>
  <si>
    <t>5.0</t>
  </si>
  <si>
    <t>6.0</t>
  </si>
  <si>
    <t>7.0</t>
  </si>
  <si>
    <t>8.0</t>
  </si>
  <si>
    <t>9.0</t>
  </si>
  <si>
    <t>10.0</t>
  </si>
  <si>
    <t>11.0</t>
  </si>
  <si>
    <t>12.0</t>
  </si>
  <si>
    <t>QAP04</t>
  </si>
  <si>
    <t>QAP05</t>
  </si>
  <si>
    <t>QAP06</t>
  </si>
  <si>
    <t>QAP07</t>
  </si>
  <si>
    <t>QAP08</t>
  </si>
  <si>
    <t>QAP09</t>
  </si>
  <si>
    <t>QAP10</t>
  </si>
  <si>
    <t>QAP11</t>
  </si>
  <si>
    <t>QAP12</t>
  </si>
  <si>
    <t>QAPark</t>
  </si>
  <si>
    <t>AL'DORA VITTA</t>
  </si>
  <si>
    <t>QAV01</t>
  </si>
  <si>
    <t>13.0</t>
  </si>
  <si>
    <t>QAV02</t>
  </si>
  <si>
    <t>QAV03</t>
  </si>
  <si>
    <t>QAV04</t>
  </si>
  <si>
    <t>QAV05</t>
  </si>
  <si>
    <t>QAV06</t>
  </si>
  <si>
    <t>QAV07</t>
  </si>
  <si>
    <t>QAV08</t>
  </si>
  <si>
    <t>QAV09</t>
  </si>
  <si>
    <t>JARDIM 03</t>
  </si>
  <si>
    <t>J03</t>
  </si>
  <si>
    <t>AL'DORA NEXUS</t>
  </si>
  <si>
    <t>QAN01</t>
  </si>
  <si>
    <t>AL'DORA NEXUS GENOVA</t>
  </si>
  <si>
    <t>Comercial / Corporativos</t>
  </si>
  <si>
    <t>LT03</t>
  </si>
  <si>
    <t>LT04</t>
  </si>
  <si>
    <t>LT05</t>
  </si>
  <si>
    <t>LT06</t>
  </si>
  <si>
    <t>LT07</t>
  </si>
  <si>
    <t>LT08</t>
  </si>
  <si>
    <t>LT09</t>
  </si>
  <si>
    <t>LT12</t>
  </si>
  <si>
    <t>LT13</t>
  </si>
  <si>
    <t>LT14</t>
  </si>
  <si>
    <t>LT15</t>
  </si>
  <si>
    <t>LT16</t>
  </si>
  <si>
    <t>LT17</t>
  </si>
  <si>
    <t>LT18</t>
  </si>
  <si>
    <t>LT19</t>
  </si>
  <si>
    <t>Resid. / Corporativo / fachada ativa</t>
  </si>
  <si>
    <t>Residencial multifamiliar</t>
  </si>
  <si>
    <t>Térreo + 1</t>
  </si>
  <si>
    <t>Paisagismos e caminhos verdes e culturais</t>
  </si>
  <si>
    <t>Ref. Pátio Vinhedos</t>
  </si>
  <si>
    <t>Ref. Aruã</t>
  </si>
  <si>
    <t>CRONOGRAMA FÍSICO-FINANCEIRO</t>
  </si>
  <si>
    <t>CLIENTE:</t>
  </si>
  <si>
    <t>OBRA:</t>
  </si>
  <si>
    <t>DATA</t>
  </si>
  <si>
    <t>REVISÃO:</t>
  </si>
  <si>
    <t>DISCRIMINAÇÃO</t>
  </si>
  <si>
    <t>( % )</t>
  </si>
  <si>
    <t>TOTAIS SIMPLES</t>
  </si>
  <si>
    <t>TOTAIS ACUMULADOS</t>
  </si>
  <si>
    <t>PERCENTUAL MENSAL</t>
  </si>
  <si>
    <t>PERCENTUAL ACUMULADO</t>
  </si>
  <si>
    <t>AL' DORA CIDADE JARDIM</t>
  </si>
  <si>
    <t>CIDADE JARDIM EMPREENDIMENTOS</t>
  </si>
  <si>
    <t>01</t>
  </si>
  <si>
    <t>VALORES ( R$ )</t>
  </si>
  <si>
    <t>VGV</t>
  </si>
  <si>
    <t>OBRA</t>
  </si>
  <si>
    <t>1° ano</t>
  </si>
  <si>
    <t>2° ano</t>
  </si>
  <si>
    <t>3° ano</t>
  </si>
  <si>
    <t>4° ano</t>
  </si>
  <si>
    <t>5° ano</t>
  </si>
  <si>
    <t>6° ano</t>
  </si>
  <si>
    <t>7° ano</t>
  </si>
  <si>
    <t>8° ano</t>
  </si>
  <si>
    <t>9° ano</t>
  </si>
  <si>
    <t>10° ano</t>
  </si>
  <si>
    <t>11° ano</t>
  </si>
  <si>
    <t>12° ano</t>
  </si>
  <si>
    <t>13° ano</t>
  </si>
  <si>
    <t>14° ano</t>
  </si>
  <si>
    <t>15° ano</t>
  </si>
  <si>
    <t>16° ano</t>
  </si>
  <si>
    <t>17° ano</t>
  </si>
  <si>
    <t>18° ano</t>
  </si>
  <si>
    <t>19° ano</t>
  </si>
  <si>
    <t>20° ano</t>
  </si>
  <si>
    <t>21° ano</t>
  </si>
  <si>
    <t>22° ano</t>
  </si>
  <si>
    <t>23° ano</t>
  </si>
  <si>
    <t>24° ano</t>
  </si>
  <si>
    <t>25° ano</t>
  </si>
  <si>
    <t>Custo R$ / m²</t>
  </si>
  <si>
    <t>Venda R$ / m²</t>
  </si>
  <si>
    <t>Standart</t>
  </si>
  <si>
    <t>EDIFICIO</t>
  </si>
  <si>
    <t>PADRÃO</t>
  </si>
  <si>
    <t>Luxo</t>
  </si>
  <si>
    <t>Super Luxo</t>
  </si>
  <si>
    <t xml:space="preserve">Standart Plus </t>
  </si>
  <si>
    <t>Lote Jardins</t>
  </si>
  <si>
    <t>40 a 55 m²</t>
  </si>
  <si>
    <t>65 a 100 m²</t>
  </si>
  <si>
    <t>55 a 65 m²</t>
  </si>
  <si>
    <t>100 a 250 m²</t>
  </si>
  <si>
    <t>250 m² acima</t>
  </si>
  <si>
    <t>Referencia</t>
  </si>
  <si>
    <t>Lote aberto</t>
  </si>
  <si>
    <t>Resid. Multifamiliar</t>
  </si>
  <si>
    <t>Lote misto - Venda</t>
  </si>
  <si>
    <t>Áreas</t>
  </si>
  <si>
    <t>Resid. Multifamiliar com fachada ativa</t>
  </si>
  <si>
    <t>TOTAL VGV</t>
  </si>
  <si>
    <t>TOTAL INVESTIMENTOS (OBRAS)</t>
  </si>
  <si>
    <t>Médio</t>
  </si>
  <si>
    <t>Núcleo recreativos e cultural</t>
  </si>
  <si>
    <t>Parque</t>
  </si>
  <si>
    <t>Loteamento Fechado</t>
  </si>
  <si>
    <t>Residências</t>
  </si>
  <si>
    <t>Núcleo Recreativo e Cultural</t>
  </si>
  <si>
    <t>Standart Plus / Médio</t>
  </si>
  <si>
    <t>Infra estrutura</t>
  </si>
  <si>
    <t>Misto</t>
  </si>
  <si>
    <t>Escola</t>
  </si>
  <si>
    <t>Coorporativo</t>
  </si>
  <si>
    <t xml:space="preserve"> Convenções</t>
  </si>
  <si>
    <t>Convenções</t>
  </si>
  <si>
    <t>REFERENCIAS DE PREÇOS</t>
  </si>
  <si>
    <t>AREA</t>
  </si>
  <si>
    <t>Al'dora Town - Versailles</t>
  </si>
  <si>
    <t>Jardim Chambord</t>
  </si>
  <si>
    <t>1.1</t>
  </si>
  <si>
    <t>2.1</t>
  </si>
  <si>
    <t>FASE 01 - AL'DORA VERSAILLES</t>
  </si>
  <si>
    <t>FASE 02 - JARDIM CHAMBORD / AL'DORA TOWN</t>
  </si>
  <si>
    <t xml:space="preserve">INFRA ESTRUTURA </t>
  </si>
  <si>
    <t>2.2</t>
  </si>
  <si>
    <t>Parque Versailles</t>
  </si>
  <si>
    <t>Al'dora Town - Infra estrutura</t>
  </si>
  <si>
    <t>Escolas</t>
  </si>
  <si>
    <t>2.3</t>
  </si>
  <si>
    <t>2.4</t>
  </si>
  <si>
    <t>2.5</t>
  </si>
  <si>
    <t>FASE 03 - JARDIM 03</t>
  </si>
  <si>
    <t>EEE e Coletor Tronco</t>
  </si>
  <si>
    <t>Adutora</t>
  </si>
  <si>
    <t>INFRA ESTRUTURA GLEBA H</t>
  </si>
  <si>
    <t>Esgoto</t>
  </si>
  <si>
    <t>FASE 05 - AL'DORA NEXUS GENOVA</t>
  </si>
  <si>
    <t>Parque Genova</t>
  </si>
  <si>
    <t>FASE 06 - AL'DORA PARK</t>
  </si>
  <si>
    <t>Edificações</t>
  </si>
  <si>
    <t>26°</t>
  </si>
  <si>
    <t>50° ano</t>
  </si>
  <si>
    <t>FASE 07 - JARDIM 04</t>
  </si>
  <si>
    <t>JARDIM 04</t>
  </si>
  <si>
    <t>J04</t>
  </si>
  <si>
    <t>INFRA ESTRUTURA EXTERNAS</t>
  </si>
  <si>
    <t>INFRA ESTRUTURA GLEBA 6 E 7</t>
  </si>
  <si>
    <t xml:space="preserve">FASE 04 - INFRA ESTRUTURA - </t>
  </si>
  <si>
    <t>FASE 08 - AL'DORA NEXUS</t>
  </si>
  <si>
    <t>JARDIM 05</t>
  </si>
  <si>
    <t>J05</t>
  </si>
  <si>
    <t>TOTAL GERAL VGV</t>
  </si>
  <si>
    <t>TOTAL GERAL INVESTIMENTOS (OBRAS)</t>
  </si>
  <si>
    <t>3.1</t>
  </si>
  <si>
    <t>4.1</t>
  </si>
  <si>
    <t>4.2</t>
  </si>
  <si>
    <t>5.1</t>
  </si>
  <si>
    <t>6.1</t>
  </si>
  <si>
    <t>6.2</t>
  </si>
  <si>
    <t>8.1</t>
  </si>
  <si>
    <t>8.2</t>
  </si>
  <si>
    <t>FASE 09 - AL'DORA VITA</t>
  </si>
  <si>
    <t>FASE 010 - JARDIM 05</t>
  </si>
  <si>
    <t>9.1</t>
  </si>
  <si>
    <t>9.2</t>
  </si>
  <si>
    <t>10.1</t>
  </si>
  <si>
    <t>Gleba H - Etapa 01</t>
  </si>
  <si>
    <t>Gleba 6 e 7 - Etapa 02</t>
  </si>
  <si>
    <t>Polo Corporativo - Etapa 01, 02 e 03</t>
  </si>
  <si>
    <t>Infra estrutura  - Etapa 01, 02 e 03</t>
  </si>
  <si>
    <t>Infra estrutura  - Etapa 01 e 02</t>
  </si>
  <si>
    <t>Água Potável</t>
  </si>
  <si>
    <t>Jardim Condomínio Fechado</t>
  </si>
  <si>
    <t>VGV ANUAL</t>
  </si>
  <si>
    <t>VGV ACUMULADO</t>
  </si>
  <si>
    <t>EMPREGOS ANUAL</t>
  </si>
  <si>
    <t>EMPREGOS ACUMULADO</t>
  </si>
  <si>
    <t>INVESTIMENTOS ANUAL</t>
  </si>
  <si>
    <t>INVESTIMENTOS ACUM.</t>
  </si>
  <si>
    <t>ALDORA BOULEVARD</t>
  </si>
  <si>
    <t>Área Total</t>
  </si>
  <si>
    <t>CALCULO CONFORME INDICE PREFEITURA</t>
  </si>
  <si>
    <t>Área Parcelável</t>
  </si>
  <si>
    <t>Área Líquida</t>
  </si>
  <si>
    <t>CA</t>
  </si>
  <si>
    <t>Área Construtiva</t>
  </si>
  <si>
    <t>Apartamento Padrão</t>
  </si>
  <si>
    <t>Nº de Apartamentos</t>
  </si>
  <si>
    <t>Morador por Domicílio (IBGE)</t>
  </si>
  <si>
    <t>População Prevista</t>
  </si>
  <si>
    <t>Densidade Líquida</t>
  </si>
  <si>
    <t>Indice 4</t>
  </si>
  <si>
    <t>Área a Parcelar</t>
  </si>
  <si>
    <t>Área Alienável</t>
  </si>
  <si>
    <t>CALCULO COM DENSIDADE SUGERIDA</t>
  </si>
  <si>
    <t>Lotes Residenciais</t>
  </si>
  <si>
    <t>Área Habitacional Total</t>
  </si>
  <si>
    <t>Lotes Comerciais</t>
  </si>
  <si>
    <t>Área Verde</t>
  </si>
  <si>
    <t>Sistema Viário</t>
  </si>
  <si>
    <t>ALDORA TOWN</t>
  </si>
  <si>
    <t>Indice 3</t>
  </si>
  <si>
    <t>Total</t>
  </si>
  <si>
    <t>Educação</t>
  </si>
  <si>
    <t>Office</t>
  </si>
  <si>
    <t>Área Verde / Praça</t>
  </si>
  <si>
    <t>ALDORA PARK</t>
  </si>
  <si>
    <t>ALDORA VITTA</t>
  </si>
  <si>
    <t>Área de Preversação Permanente</t>
  </si>
  <si>
    <t>ALDORA NEXUS</t>
  </si>
  <si>
    <t>Lotes Uso Misto</t>
  </si>
  <si>
    <t>Lotes Start-up</t>
  </si>
  <si>
    <t>Lotes Hub Negócios</t>
  </si>
  <si>
    <t>LOTEAMENTO FECHADO JARDIM</t>
  </si>
  <si>
    <t>JARDIM CHAMBOARD</t>
  </si>
  <si>
    <t>Lotes</t>
  </si>
  <si>
    <t>Morador / Domicílio (IBGE)</t>
  </si>
  <si>
    <t>Lotes Portaria</t>
  </si>
  <si>
    <t>Lotes Equipamentos Lazer</t>
  </si>
  <si>
    <t>CONDOMINIO 02</t>
  </si>
  <si>
    <t>Área de Influência</t>
  </si>
  <si>
    <t>TGCA*</t>
  </si>
  <si>
    <t>Primaria</t>
  </si>
  <si>
    <t>Secundaria</t>
  </si>
  <si>
    <t>Part.</t>
  </si>
  <si>
    <t>População</t>
  </si>
  <si>
    <t>DADOS DEMOGRÁFICOS</t>
  </si>
  <si>
    <t>DISTRIBUIÇÃO E EVOLUÇÃO POPULACIONAL</t>
  </si>
  <si>
    <t>A população residente total na Área de Influência em 2017 é estimada em 103,7 mil habitantes, dos quais 89% estão na Área Secundária.</t>
  </si>
  <si>
    <t>População estimada 2025, 761.835 pessoas [2025]</t>
  </si>
  <si>
    <t>POPULAÇÃO</t>
  </si>
  <si>
    <t>POPULAÇÃO  TOTAL ESTIMADA</t>
  </si>
  <si>
    <t>Est. CDJ</t>
  </si>
  <si>
    <t>Est. G4</t>
  </si>
  <si>
    <t>TORRES</t>
  </si>
  <si>
    <t>APTO / LOTE</t>
  </si>
  <si>
    <t>AREA TOTAL HECTARE</t>
  </si>
  <si>
    <t>HABITANTES / HECTARE</t>
  </si>
  <si>
    <t>COEF.</t>
  </si>
  <si>
    <t>EMPREENDIMENTOS</t>
  </si>
  <si>
    <t>AREA PARQUE</t>
  </si>
  <si>
    <t>PARQUE LINEAR</t>
  </si>
  <si>
    <t>NUCLEOS VERDES</t>
  </si>
  <si>
    <t>PARQUE LINEARES</t>
  </si>
  <si>
    <t>ÁREA TOTAL (hectare)</t>
  </si>
  <si>
    <t>ÁREA TOTAL (m²)</t>
  </si>
  <si>
    <t>hab. / ha</t>
  </si>
  <si>
    <t>Via Verde - Bollevatd</t>
  </si>
  <si>
    <t xml:space="preserve">Ciclovias </t>
  </si>
  <si>
    <t>APP / Uberbabinha</t>
  </si>
  <si>
    <t>APP / Guaribas</t>
  </si>
  <si>
    <t>APP (Uberabinha / Guaribas)</t>
  </si>
  <si>
    <t>Novos Nucleos Verdes - Parque Linear</t>
  </si>
  <si>
    <t>Novos Nucleos Verdes - Empreendimentos</t>
  </si>
  <si>
    <t>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</si>
</sst>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#,000.00\ &quot;m²&quot;"/>
    <numFmt numFmtId="165" formatCode="#00.00\ &quot;m²&quot;"/>
    <numFmt numFmtId="166" formatCode="#,##0.0"/>
    <numFmt numFmtId="167" formatCode="_(* #,##0.00_);_(* \(#,##0.00\);_(* &quot;-&quot;??_);_(@_)"/>
    <numFmt numFmtId="168" formatCode="0.0%"/>
    <numFmt numFmtId="169" formatCode="#,##0.00_ ;\-#,##0.00\ "/>
    <numFmt numFmtId="170" formatCode="&quot;R$&quot;\ #,##0.00"/>
    <numFmt numFmtId="171" formatCode="#,##0.00\ &quot;m²&quot;"/>
    <numFmt numFmtId="172" formatCode="0.00\ &quot;m²&quot;"/>
    <numFmt numFmtId="173" formatCode="#,##0\ &quot;unid.&quot;"/>
    <numFmt numFmtId="174" formatCode="#,##0\ &quot;hab/ha&quot;"/>
    <numFmt numFmtId="175" formatCode="#,##0.00\ &quot;ha&quot;"/>
    <numFmt numFmtId="176" formatCode="0.0000\ &quot;hab/ha&quot;"/>
  </numFmts>
  <fonts count="36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b/>
      <sz val="14"/>
      <color rgb="FF0070C0"/>
      <name val="Arial"/>
      <family val="2"/>
    </font>
    <font>
      <b/>
      <sz val="11"/>
      <color theme="0" tint="-4.9989318521683403E-2"/>
      <name val="Arial"/>
      <family val="2"/>
    </font>
    <font>
      <b/>
      <sz val="11"/>
      <color theme="0"/>
      <name val="Arial"/>
      <family val="2"/>
    </font>
    <font>
      <sz val="11"/>
      <color theme="0" tint="-4.9989318521683403E-2"/>
      <name val="Arial"/>
      <family val="2"/>
    </font>
    <font>
      <b/>
      <sz val="10"/>
      <color theme="0" tint="-4.9989318521683403E-2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b/>
      <sz val="11"/>
      <color indexed="10"/>
      <name val="Arial"/>
      <family val="2"/>
    </font>
    <font>
      <b/>
      <i/>
      <sz val="16"/>
      <color theme="3" tint="0.39997558519241921"/>
      <name val="Arial"/>
      <family val="2"/>
    </font>
    <font>
      <b/>
      <i/>
      <sz val="16"/>
      <color rgb="FFFF0000"/>
      <name val="Arial"/>
      <family val="2"/>
    </font>
    <font>
      <b/>
      <sz val="8"/>
      <name val="Arial"/>
      <family val="2"/>
    </font>
    <font>
      <b/>
      <i/>
      <sz val="10"/>
      <color theme="1"/>
      <name val="Arial"/>
      <family val="2"/>
    </font>
    <font>
      <b/>
      <i/>
      <sz val="14"/>
      <color indexed="12"/>
      <name val="Arial"/>
      <family val="2"/>
    </font>
    <font>
      <b/>
      <sz val="10"/>
      <name val="Arial"/>
      <family val="2"/>
    </font>
    <font>
      <b/>
      <i/>
      <sz val="10"/>
      <color theme="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i/>
      <sz val="9"/>
      <color theme="0"/>
      <name val="Arial"/>
      <family val="2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7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double">
        <color rgb="FF0070C0"/>
      </left>
      <right style="thin">
        <color theme="0"/>
      </right>
      <top style="double">
        <color rgb="FF0070C0"/>
      </top>
      <bottom style="thin">
        <color theme="0"/>
      </bottom>
      <diagonal/>
    </border>
    <border>
      <left style="thin">
        <color theme="0"/>
      </left>
      <right/>
      <top style="double">
        <color rgb="FF0070C0"/>
      </top>
      <bottom style="thin">
        <color theme="0"/>
      </bottom>
      <diagonal/>
    </border>
    <border>
      <left/>
      <right/>
      <top style="double">
        <color rgb="FF0070C0"/>
      </top>
      <bottom style="thin">
        <color theme="0"/>
      </bottom>
      <diagonal/>
    </border>
    <border>
      <left/>
      <right style="thin">
        <color theme="0"/>
      </right>
      <top style="double">
        <color rgb="FF0070C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double">
        <color rgb="FF0070C0"/>
      </top>
      <bottom style="thin">
        <color theme="0"/>
      </bottom>
      <diagonal/>
    </border>
    <border>
      <left style="thin">
        <color theme="0"/>
      </left>
      <right style="double">
        <color rgb="FF0070C0"/>
      </right>
      <top style="double">
        <color rgb="FF0070C0"/>
      </top>
      <bottom style="thin">
        <color theme="0"/>
      </bottom>
      <diagonal/>
    </border>
    <border>
      <left style="double">
        <color rgb="FF0070C0"/>
      </left>
      <right style="thin">
        <color theme="0"/>
      </right>
      <top style="thin">
        <color theme="0"/>
      </top>
      <bottom style="double">
        <color rgb="FF0070C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rgb="FF0070C0"/>
      </bottom>
      <diagonal/>
    </border>
    <border>
      <left style="thin">
        <color theme="0"/>
      </left>
      <right style="double">
        <color rgb="FF0070C0"/>
      </right>
      <top style="thin">
        <color theme="0"/>
      </top>
      <bottom style="double">
        <color rgb="FF0070C0"/>
      </bottom>
      <diagonal/>
    </border>
    <border>
      <left style="double">
        <color rgb="FF0070C0"/>
      </left>
      <right/>
      <top style="double">
        <color rgb="FF0070C0"/>
      </top>
      <bottom style="thin">
        <color auto="1"/>
      </bottom>
      <diagonal/>
    </border>
    <border>
      <left/>
      <right/>
      <top style="double">
        <color rgb="FF0070C0"/>
      </top>
      <bottom style="thin">
        <color auto="1"/>
      </bottom>
      <diagonal/>
    </border>
    <border>
      <left/>
      <right style="double">
        <color rgb="FF0070C0"/>
      </right>
      <top style="double">
        <color rgb="FF0070C0"/>
      </top>
      <bottom style="thin">
        <color auto="1"/>
      </bottom>
      <diagonal/>
    </border>
    <border>
      <left style="double">
        <color rgb="FF0070C0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rgb="FF0070C0"/>
      </right>
      <top style="thin">
        <color auto="1"/>
      </top>
      <bottom style="hair">
        <color auto="1"/>
      </bottom>
      <diagonal/>
    </border>
    <border>
      <left style="double">
        <color rgb="FF0070C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rgb="FF0070C0"/>
      </right>
      <top style="hair">
        <color auto="1"/>
      </top>
      <bottom style="hair">
        <color auto="1"/>
      </bottom>
      <diagonal/>
    </border>
    <border>
      <left style="double">
        <color rgb="FF0070C0"/>
      </left>
      <right style="thin">
        <color auto="1"/>
      </right>
      <top style="hair">
        <color auto="1"/>
      </top>
      <bottom style="double">
        <color rgb="FF0070C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rgb="FF0070C0"/>
      </bottom>
      <diagonal/>
    </border>
    <border>
      <left style="thin">
        <color auto="1"/>
      </left>
      <right style="double">
        <color rgb="FF0070C0"/>
      </right>
      <top style="hair">
        <color auto="1"/>
      </top>
      <bottom style="double">
        <color rgb="FF0070C0"/>
      </bottom>
      <diagonal/>
    </border>
    <border>
      <left/>
      <right/>
      <top/>
      <bottom style="thin">
        <color rgb="FF0070C0"/>
      </bottom>
      <diagonal/>
    </border>
    <border>
      <left style="thin">
        <color rgb="FF0070C0"/>
      </left>
      <right style="thin">
        <color theme="0"/>
      </right>
      <top style="thin">
        <color rgb="FF0070C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rgb="FF0070C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rgb="FF0070C0"/>
      </top>
      <bottom/>
      <diagonal/>
    </border>
    <border>
      <left style="thin">
        <color rgb="FF0070C0"/>
      </left>
      <right style="thin">
        <color theme="0"/>
      </right>
      <top style="hair">
        <color theme="0"/>
      </top>
      <bottom style="thin">
        <color rgb="FF0070C0"/>
      </bottom>
      <diagonal/>
    </border>
    <border>
      <left style="thin">
        <color theme="0"/>
      </left>
      <right style="thin">
        <color theme="0"/>
      </right>
      <top style="hair">
        <color theme="0"/>
      </top>
      <bottom style="thin">
        <color rgb="FF0070C0"/>
      </bottom>
      <diagonal/>
    </border>
    <border>
      <left style="thin">
        <color theme="0"/>
      </left>
      <right style="thin">
        <color theme="0"/>
      </right>
      <top/>
      <bottom style="thin">
        <color rgb="FF0070C0"/>
      </bottom>
      <diagonal/>
    </border>
    <border>
      <left style="thin">
        <color rgb="FF0070C0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rgb="FF0070C0"/>
      </left>
      <right style="hair">
        <color rgb="FF0070C0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rgb="FF0070C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rgb="FF0070C0"/>
      </left>
      <right style="hair">
        <color rgb="FF0070C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rgb="FF0070C0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rgb="FF0070C0"/>
      </left>
      <right style="thin">
        <color rgb="FF0070C0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rgb="FF0070C0"/>
      </left>
      <right style="thin">
        <color rgb="FF0070C0"/>
      </right>
      <top style="hair">
        <color theme="0" tint="-0.34998626667073579"/>
      </top>
      <bottom/>
      <diagonal/>
    </border>
    <border>
      <left/>
      <right style="hair">
        <color rgb="FF0070C0"/>
      </right>
      <top style="hair">
        <color theme="0" tint="-0.34998626667073579"/>
      </top>
      <bottom/>
      <diagonal/>
    </border>
    <border>
      <left style="hair">
        <color rgb="FF0070C0"/>
      </left>
      <right style="hair">
        <color rgb="FF0070C0"/>
      </right>
      <top style="hair">
        <color theme="0" tint="-0.34998626667073579"/>
      </top>
      <bottom/>
      <diagonal/>
    </border>
    <border>
      <left style="thin">
        <color rgb="FF0070C0"/>
      </left>
      <right style="thin">
        <color rgb="FF0070C0"/>
      </right>
      <top style="hair">
        <color theme="0" tint="-0.34998626667073579"/>
      </top>
      <bottom style="thin">
        <color rgb="FF0070C0"/>
      </bottom>
      <diagonal/>
    </border>
    <border>
      <left style="thin">
        <color rgb="FF0070C0"/>
      </left>
      <right style="hair">
        <color rgb="FF0070C0"/>
      </right>
      <top style="hair">
        <color theme="0" tint="-0.34998626667073579"/>
      </top>
      <bottom style="thin">
        <color rgb="FF0070C0"/>
      </bottom>
      <diagonal/>
    </border>
    <border>
      <left/>
      <right style="hair">
        <color rgb="FF0070C0"/>
      </right>
      <top style="hair">
        <color theme="0" tint="-0.34998626667073579"/>
      </top>
      <bottom style="thin">
        <color rgb="FF0070C0"/>
      </bottom>
      <diagonal/>
    </border>
    <border>
      <left style="hair">
        <color rgb="FF0070C0"/>
      </left>
      <right style="hair">
        <color rgb="FF0070C0"/>
      </right>
      <top style="hair">
        <color theme="0" tint="-0.34998626667073579"/>
      </top>
      <bottom style="thin">
        <color rgb="FF0070C0"/>
      </bottom>
      <diagonal/>
    </border>
    <border>
      <left style="hair">
        <color rgb="FF0070C0"/>
      </left>
      <right/>
      <top style="hair">
        <color theme="0" tint="-0.34998626667073579"/>
      </top>
      <bottom style="thin">
        <color rgb="FF0070C0"/>
      </bottom>
      <diagonal/>
    </border>
    <border>
      <left style="hair">
        <color rgb="FF0070C0"/>
      </left>
      <right style="thin">
        <color rgb="FF0070C0"/>
      </right>
      <top style="hair">
        <color theme="0" tint="-0.34998626667073579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theme="0"/>
      </left>
      <right/>
      <top style="thin">
        <color rgb="FF0070C0"/>
      </top>
      <bottom style="hair">
        <color theme="0"/>
      </bottom>
      <diagonal/>
    </border>
    <border>
      <left/>
      <right style="thin">
        <color theme="0"/>
      </right>
      <top style="thin">
        <color rgb="FF0070C0"/>
      </top>
      <bottom style="hair">
        <color theme="0"/>
      </bottom>
      <diagonal/>
    </border>
    <border>
      <left style="thin">
        <color rgb="FF0070C0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rgb="FF0070C0"/>
      </left>
      <right style="thin">
        <color rgb="FF0070C0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rgb="FF0070C0"/>
      </top>
      <bottom style="dotted">
        <color theme="0"/>
      </bottom>
      <diagonal/>
    </border>
    <border>
      <left style="thin">
        <color theme="0"/>
      </left>
      <right style="thin">
        <color theme="0"/>
      </right>
      <top style="dotted">
        <color theme="0"/>
      </top>
      <bottom style="thin">
        <color rgb="FF0070C0"/>
      </bottom>
      <diagonal/>
    </border>
    <border>
      <left style="thin">
        <color theme="0"/>
      </left>
      <right/>
      <top style="thin">
        <color rgb="FF0070C0"/>
      </top>
      <bottom/>
      <diagonal/>
    </border>
    <border>
      <left/>
      <right style="thin">
        <color theme="0"/>
      </right>
      <top style="thin">
        <color rgb="FF0070C0"/>
      </top>
      <bottom/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/>
      <top style="hair">
        <color theme="0" tint="-0.34998626667073579"/>
      </top>
      <bottom style="thin">
        <color rgb="FF0070C0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4">
    <xf numFmtId="0" fontId="0" fillId="0" borderId="0"/>
    <xf numFmtId="43" fontId="11" fillId="0" borderId="0" applyFont="0" applyFill="0" applyBorder="0" applyAlignment="0" applyProtection="0"/>
    <xf numFmtId="0" fontId="2" fillId="0" borderId="0"/>
    <xf numFmtId="9" fontId="21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2" xfId="0" applyBorder="1"/>
    <xf numFmtId="4" fontId="0" fillId="0" borderId="2" xfId="0" applyNumberFormat="1" applyBorder="1" applyAlignment="1">
      <alignment horizontal="center"/>
    </xf>
    <xf numFmtId="0" fontId="0" fillId="0" borderId="3" xfId="0" applyBorder="1"/>
    <xf numFmtId="0" fontId="0" fillId="0" borderId="1" xfId="0" applyBorder="1"/>
    <xf numFmtId="0" fontId="5" fillId="2" borderId="4" xfId="0" applyFont="1" applyFill="1" applyBorder="1"/>
    <xf numFmtId="0" fontId="5" fillId="2" borderId="4" xfId="0" applyFon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4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49" fontId="1" fillId="3" borderId="2" xfId="0" applyNumberFormat="1" applyFont="1" applyFill="1" applyBorder="1" applyAlignment="1">
      <alignment horizontal="center" vertical="center"/>
    </xf>
    <xf numFmtId="4" fontId="1" fillId="3" borderId="2" xfId="0" applyNumberFormat="1" applyFont="1" applyFill="1" applyBorder="1" applyAlignment="1">
      <alignment horizontal="center" vertical="center"/>
    </xf>
    <xf numFmtId="9" fontId="1" fillId="3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1" fontId="0" fillId="4" borderId="2" xfId="0" applyNumberFormat="1" applyFill="1" applyBorder="1" applyAlignment="1">
      <alignment horizontal="center" vertical="center"/>
    </xf>
    <xf numFmtId="1" fontId="1" fillId="4" borderId="2" xfId="0" applyNumberFormat="1" applyFon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4" fontId="1" fillId="0" borderId="0" xfId="0" applyNumberFormat="1" applyFont="1"/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9" fontId="1" fillId="5" borderId="1" xfId="0" applyNumberFormat="1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4" fontId="1" fillId="5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4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 wrapText="1"/>
    </xf>
    <xf numFmtId="9" fontId="1" fillId="5" borderId="2" xfId="0" applyNumberFormat="1" applyFont="1" applyFill="1" applyBorder="1" applyAlignment="1">
      <alignment horizontal="center" vertical="center"/>
    </xf>
    <xf numFmtId="1" fontId="1" fillId="5" borderId="2" xfId="0" applyNumberFormat="1" applyFont="1" applyFill="1" applyBorder="1" applyAlignment="1">
      <alignment horizontal="center" vertical="center"/>
    </xf>
    <xf numFmtId="4" fontId="1" fillId="5" borderId="2" xfId="0" applyNumberFormat="1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 wrapText="1"/>
    </xf>
    <xf numFmtId="49" fontId="0" fillId="5" borderId="2" xfId="0" applyNumberForma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0" xfId="0" applyFont="1"/>
    <xf numFmtId="165" fontId="0" fillId="0" borderId="2" xfId="0" applyNumberFormat="1" applyBorder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5" fillId="2" borderId="18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0" fontId="1" fillId="5" borderId="20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4" borderId="23" xfId="0" applyNumberForma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/>
    </xf>
    <xf numFmtId="1" fontId="1" fillId="5" borderId="23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4" fontId="0" fillId="0" borderId="0" xfId="0" applyNumberFormat="1" applyAlignment="1">
      <alignment wrapText="1"/>
    </xf>
    <xf numFmtId="16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6" fontId="1" fillId="5" borderId="2" xfId="0" applyNumberFormat="1" applyFon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center" vertical="center" wrapText="1"/>
    </xf>
    <xf numFmtId="49" fontId="12" fillId="0" borderId="0" xfId="0" applyNumberFormat="1" applyFont="1" applyAlignment="1">
      <alignment vertical="center" wrapText="1"/>
    </xf>
    <xf numFmtId="49" fontId="9" fillId="0" borderId="0" xfId="0" applyNumberFormat="1" applyFont="1" applyAlignment="1">
      <alignment horizontal="center" vertical="center" wrapText="1"/>
    </xf>
    <xf numFmtId="15" fontId="9" fillId="0" borderId="0" xfId="0" applyNumberFormat="1" applyFont="1" applyAlignment="1">
      <alignment horizontal="center" vertical="center"/>
    </xf>
    <xf numFmtId="0" fontId="11" fillId="0" borderId="0" xfId="0" applyFont="1"/>
    <xf numFmtId="0" fontId="13" fillId="0" borderId="27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0" fontId="0" fillId="0" borderId="27" xfId="0" applyBorder="1" applyAlignment="1">
      <alignment vertical="center"/>
    </xf>
    <xf numFmtId="49" fontId="15" fillId="0" borderId="0" xfId="0" applyNumberFormat="1" applyFont="1" applyAlignment="1">
      <alignment vertical="center"/>
    </xf>
    <xf numFmtId="49" fontId="16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left" vertical="center" wrapText="1"/>
    </xf>
    <xf numFmtId="14" fontId="16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49" fontId="12" fillId="0" borderId="34" xfId="0" applyNumberFormat="1" applyFont="1" applyBorder="1" applyAlignment="1">
      <alignment vertical="center" wrapText="1"/>
    </xf>
    <xf numFmtId="0" fontId="11" fillId="0" borderId="36" xfId="0" applyFont="1" applyBorder="1"/>
    <xf numFmtId="168" fontId="15" fillId="5" borderId="38" xfId="3" applyNumberFormat="1" applyFont="1" applyFill="1" applyBorder="1" applyAlignment="1">
      <alignment horizontal="center" vertical="center"/>
    </xf>
    <xf numFmtId="168" fontId="15" fillId="5" borderId="39" xfId="3" applyNumberFormat="1" applyFont="1" applyFill="1" applyBorder="1" applyAlignment="1">
      <alignment horizontal="center" vertical="center"/>
    </xf>
    <xf numFmtId="168" fontId="15" fillId="5" borderId="40" xfId="3" applyNumberFormat="1" applyFont="1" applyFill="1" applyBorder="1" applyAlignment="1">
      <alignment horizontal="center" vertical="center"/>
    </xf>
    <xf numFmtId="168" fontId="15" fillId="5" borderId="41" xfId="3" applyNumberFormat="1" applyFont="1" applyFill="1" applyBorder="1" applyAlignment="1">
      <alignment horizontal="center" vertical="center"/>
    </xf>
    <xf numFmtId="168" fontId="15" fillId="5" borderId="42" xfId="3" applyNumberFormat="1" applyFont="1" applyFill="1" applyBorder="1" applyAlignment="1">
      <alignment horizontal="center" vertical="center"/>
    </xf>
    <xf numFmtId="168" fontId="0" fillId="0" borderId="0" xfId="0" applyNumberFormat="1"/>
    <xf numFmtId="0" fontId="2" fillId="0" borderId="37" xfId="0" applyFont="1" applyBorder="1" applyAlignment="1" applyProtection="1">
      <alignment horizontal="center" vertical="center"/>
      <protection locked="0"/>
    </xf>
    <xf numFmtId="43" fontId="2" fillId="0" borderId="37" xfId="1" applyFont="1" applyBorder="1" applyAlignment="1">
      <alignment vertical="center" wrapText="1"/>
    </xf>
    <xf numFmtId="4" fontId="2" fillId="0" borderId="37" xfId="1" quotePrefix="1" applyNumberFormat="1" applyFont="1" applyBorder="1" applyAlignment="1">
      <alignment horizontal="center" vertical="center" wrapText="1"/>
    </xf>
    <xf numFmtId="168" fontId="2" fillId="0" borderId="38" xfId="3" applyNumberFormat="1" applyFont="1" applyFill="1" applyBorder="1" applyAlignment="1">
      <alignment horizontal="center" vertical="center"/>
    </xf>
    <xf numFmtId="168" fontId="2" fillId="0" borderId="39" xfId="3" applyNumberFormat="1" applyFont="1" applyFill="1" applyBorder="1" applyAlignment="1">
      <alignment horizontal="center" vertical="center"/>
    </xf>
    <xf numFmtId="168" fontId="2" fillId="0" borderId="40" xfId="3" applyNumberFormat="1" applyFont="1" applyFill="1" applyBorder="1" applyAlignment="1">
      <alignment horizontal="center" vertical="center"/>
    </xf>
    <xf numFmtId="168" fontId="2" fillId="0" borderId="41" xfId="3" applyNumberFormat="1" applyFont="1" applyFill="1" applyBorder="1" applyAlignment="1">
      <alignment horizontal="center" vertical="center"/>
    </xf>
    <xf numFmtId="168" fontId="2" fillId="0" borderId="42" xfId="3" applyNumberFormat="1" applyFont="1" applyFill="1" applyBorder="1" applyAlignment="1">
      <alignment horizontal="center" vertical="center"/>
    </xf>
    <xf numFmtId="168" fontId="2" fillId="0" borderId="44" xfId="3" applyNumberFormat="1" applyFont="1" applyFill="1" applyBorder="1" applyAlignment="1">
      <alignment horizontal="center" vertical="center"/>
    </xf>
    <xf numFmtId="168" fontId="2" fillId="0" borderId="45" xfId="3" applyNumberFormat="1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6" xfId="0" applyFont="1" applyBorder="1" applyAlignment="1">
      <alignment vertical="center"/>
    </xf>
    <xf numFmtId="4" fontId="2" fillId="0" borderId="46" xfId="1" applyNumberFormat="1" applyFont="1" applyBorder="1" applyAlignment="1">
      <alignment horizontal="center" vertical="center"/>
    </xf>
    <xf numFmtId="168" fontId="2" fillId="0" borderId="47" xfId="1" applyNumberFormat="1" applyFont="1" applyBorder="1" applyAlignment="1">
      <alignment horizontal="center" vertical="center"/>
    </xf>
    <xf numFmtId="168" fontId="2" fillId="0" borderId="48" xfId="1" applyNumberFormat="1" applyFont="1" applyBorder="1" applyAlignment="1">
      <alignment horizontal="center" vertical="center"/>
    </xf>
    <xf numFmtId="168" fontId="2" fillId="0" borderId="49" xfId="1" applyNumberFormat="1" applyFont="1" applyBorder="1" applyAlignment="1">
      <alignment horizontal="center" vertical="center"/>
    </xf>
    <xf numFmtId="168" fontId="2" fillId="0" borderId="49" xfId="3" applyNumberFormat="1" applyFont="1" applyBorder="1" applyAlignment="1">
      <alignment horizontal="center" vertical="center"/>
    </xf>
    <xf numFmtId="168" fontId="2" fillId="0" borderId="50" xfId="3" applyNumberFormat="1" applyFont="1" applyBorder="1" applyAlignment="1">
      <alignment horizontal="center" vertical="center"/>
    </xf>
    <xf numFmtId="168" fontId="2" fillId="0" borderId="51" xfId="3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center" vertical="center"/>
    </xf>
    <xf numFmtId="9" fontId="22" fillId="0" borderId="0" xfId="3" applyFont="1" applyBorder="1" applyAlignment="1">
      <alignment horizontal="center" vertical="center"/>
    </xf>
    <xf numFmtId="9" fontId="0" fillId="0" borderId="0" xfId="0" applyNumberFormat="1" applyAlignment="1">
      <alignment vertical="center"/>
    </xf>
    <xf numFmtId="0" fontId="15" fillId="0" borderId="0" xfId="0" applyFont="1" applyAlignment="1">
      <alignment vertical="center"/>
    </xf>
    <xf numFmtId="167" fontId="2" fillId="0" borderId="0" xfId="0" applyNumberFormat="1" applyFont="1" applyAlignment="1">
      <alignment vertical="center"/>
    </xf>
    <xf numFmtId="167" fontId="2" fillId="0" borderId="0" xfId="0" applyNumberFormat="1" applyFont="1" applyAlignment="1">
      <alignment horizontal="center" vertical="center"/>
    </xf>
    <xf numFmtId="169" fontId="2" fillId="0" borderId="37" xfId="1" applyNumberFormat="1" applyFont="1" applyBorder="1" applyAlignment="1">
      <alignment vertical="center" wrapText="1"/>
    </xf>
    <xf numFmtId="169" fontId="2" fillId="0" borderId="56" xfId="1" applyNumberFormat="1" applyFont="1" applyBorder="1" applyAlignment="1">
      <alignment horizontal="center" vertical="center" wrapText="1"/>
    </xf>
    <xf numFmtId="164" fontId="23" fillId="0" borderId="57" xfId="0" applyNumberFormat="1" applyFont="1" applyBorder="1" applyAlignment="1">
      <alignment horizontal="center" vertical="center" wrapText="1"/>
    </xf>
    <xf numFmtId="0" fontId="24" fillId="2" borderId="32" xfId="0" applyFont="1" applyFill="1" applyBorder="1" applyAlignment="1">
      <alignment horizontal="center" vertical="center" wrapText="1"/>
    </xf>
    <xf numFmtId="17" fontId="19" fillId="2" borderId="58" xfId="0" applyNumberFormat="1" applyFont="1" applyFill="1" applyBorder="1" applyAlignment="1">
      <alignment horizontal="center" vertical="center" wrapText="1"/>
    </xf>
    <xf numFmtId="1" fontId="19" fillId="2" borderId="59" xfId="0" applyNumberFormat="1" applyFont="1" applyFill="1" applyBorder="1" applyAlignment="1">
      <alignment horizontal="center" vertical="center" wrapText="1"/>
    </xf>
    <xf numFmtId="0" fontId="15" fillId="5" borderId="56" xfId="2" applyFont="1" applyFill="1" applyBorder="1" applyAlignment="1">
      <alignment horizontal="left" vertical="center" wrapText="1"/>
    </xf>
    <xf numFmtId="49" fontId="15" fillId="5" borderId="37" xfId="2" applyNumberFormat="1" applyFont="1" applyFill="1" applyBorder="1" applyAlignment="1">
      <alignment horizontal="left" vertical="center" wrapText="1"/>
    </xf>
    <xf numFmtId="0" fontId="25" fillId="2" borderId="37" xfId="0" applyFont="1" applyFill="1" applyBorder="1" applyAlignment="1">
      <alignment horizontal="center" vertical="center"/>
    </xf>
    <xf numFmtId="0" fontId="25" fillId="2" borderId="37" xfId="2" applyFont="1" applyFill="1" applyBorder="1" applyAlignment="1">
      <alignment horizontal="left" vertical="center" wrapText="1"/>
    </xf>
    <xf numFmtId="0" fontId="25" fillId="2" borderId="43" xfId="2" applyFont="1" applyFill="1" applyBorder="1" applyAlignment="1">
      <alignment horizontal="left" vertical="center" wrapText="1"/>
    </xf>
    <xf numFmtId="168" fontId="25" fillId="2" borderId="38" xfId="3" applyNumberFormat="1" applyFont="1" applyFill="1" applyBorder="1" applyAlignment="1">
      <alignment horizontal="center" vertical="center"/>
    </xf>
    <xf numFmtId="168" fontId="25" fillId="2" borderId="39" xfId="3" applyNumberFormat="1" applyFont="1" applyFill="1" applyBorder="1" applyAlignment="1">
      <alignment horizontal="center" vertical="center"/>
    </xf>
    <xf numFmtId="168" fontId="25" fillId="2" borderId="40" xfId="3" applyNumberFormat="1" applyFont="1" applyFill="1" applyBorder="1" applyAlignment="1">
      <alignment horizontal="center" vertical="center"/>
    </xf>
    <xf numFmtId="168" fontId="25" fillId="2" borderId="41" xfId="3" applyNumberFormat="1" applyFont="1" applyFill="1" applyBorder="1" applyAlignment="1">
      <alignment horizontal="center" vertical="center"/>
    </xf>
    <xf numFmtId="168" fontId="25" fillId="2" borderId="42" xfId="3" applyNumberFormat="1" applyFont="1" applyFill="1" applyBorder="1" applyAlignment="1">
      <alignment horizontal="center" vertical="center"/>
    </xf>
    <xf numFmtId="4" fontId="26" fillId="6" borderId="52" xfId="1" applyNumberFormat="1" applyFont="1" applyFill="1" applyBorder="1" applyAlignment="1">
      <alignment horizontal="center" vertical="center"/>
    </xf>
    <xf numFmtId="4" fontId="26" fillId="6" borderId="52" xfId="0" applyNumberFormat="1" applyFont="1" applyFill="1" applyBorder="1" applyAlignment="1">
      <alignment horizontal="center" vertical="center"/>
    </xf>
    <xf numFmtId="10" fontId="26" fillId="6" borderId="52" xfId="0" applyNumberFormat="1" applyFont="1" applyFill="1" applyBorder="1" applyAlignment="1">
      <alignment horizontal="center" vertical="center"/>
    </xf>
    <xf numFmtId="0" fontId="28" fillId="0" borderId="0" xfId="0" applyFont="1"/>
    <xf numFmtId="0" fontId="29" fillId="7" borderId="0" xfId="0" applyFont="1" applyFill="1" applyAlignment="1">
      <alignment horizontal="center" vertical="center"/>
    </xf>
    <xf numFmtId="0" fontId="29" fillId="7" borderId="0" xfId="0" applyFont="1" applyFill="1" applyAlignment="1">
      <alignment horizontal="center"/>
    </xf>
    <xf numFmtId="170" fontId="28" fillId="8" borderId="0" xfId="0" applyNumberFormat="1" applyFont="1" applyFill="1" applyAlignment="1">
      <alignment horizontal="center" vertical="center"/>
    </xf>
    <xf numFmtId="49" fontId="15" fillId="5" borderId="56" xfId="2" applyNumberFormat="1" applyFont="1" applyFill="1" applyBorder="1" applyAlignment="1">
      <alignment horizontal="left" vertical="center" wrapText="1"/>
    </xf>
    <xf numFmtId="43" fontId="2" fillId="0" borderId="56" xfId="1" applyFont="1" applyBorder="1" applyAlignment="1">
      <alignment vertical="center" wrapText="1"/>
    </xf>
    <xf numFmtId="0" fontId="15" fillId="5" borderId="34" xfId="2" applyFont="1" applyFill="1" applyBorder="1" applyAlignment="1">
      <alignment horizontal="left" vertical="center" wrapText="1"/>
    </xf>
    <xf numFmtId="165" fontId="23" fillId="0" borderId="57" xfId="0" applyNumberFormat="1" applyFont="1" applyBorder="1" applyAlignment="1">
      <alignment horizontal="center" vertical="center" wrapText="1"/>
    </xf>
    <xf numFmtId="43" fontId="2" fillId="0" borderId="56" xfId="1" applyFont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170" fontId="28" fillId="0" borderId="0" xfId="0" applyNumberFormat="1" applyFont="1" applyAlignment="1">
      <alignment horizontal="center"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170" fontId="2" fillId="0" borderId="37" xfId="1" applyNumberFormat="1" applyFont="1" applyBorder="1" applyAlignment="1">
      <alignment horizontal="center" vertical="center" wrapText="1"/>
    </xf>
    <xf numFmtId="170" fontId="2" fillId="0" borderId="37" xfId="1" quotePrefix="1" applyNumberFormat="1" applyFont="1" applyBorder="1" applyAlignment="1">
      <alignment horizontal="center" vertical="center" wrapText="1"/>
    </xf>
    <xf numFmtId="168" fontId="2" fillId="5" borderId="38" xfId="3" applyNumberFormat="1" applyFont="1" applyFill="1" applyBorder="1" applyAlignment="1">
      <alignment horizontal="center" vertical="center"/>
    </xf>
    <xf numFmtId="168" fontId="2" fillId="5" borderId="39" xfId="3" applyNumberFormat="1" applyFont="1" applyFill="1" applyBorder="1" applyAlignment="1">
      <alignment horizontal="center" vertical="center"/>
    </xf>
    <xf numFmtId="168" fontId="2" fillId="5" borderId="40" xfId="3" applyNumberFormat="1" applyFont="1" applyFill="1" applyBorder="1" applyAlignment="1">
      <alignment horizontal="center" vertical="center"/>
    </xf>
    <xf numFmtId="168" fontId="2" fillId="5" borderId="41" xfId="3" applyNumberFormat="1" applyFont="1" applyFill="1" applyBorder="1" applyAlignment="1">
      <alignment horizontal="center" vertical="center"/>
    </xf>
    <xf numFmtId="168" fontId="2" fillId="5" borderId="42" xfId="3" applyNumberFormat="1" applyFont="1" applyFill="1" applyBorder="1" applyAlignment="1">
      <alignment horizontal="center" vertical="center"/>
    </xf>
    <xf numFmtId="0" fontId="15" fillId="5" borderId="37" xfId="0" applyFont="1" applyFill="1" applyBorder="1" applyAlignment="1" applyProtection="1">
      <alignment horizontal="center" vertical="center"/>
      <protection locked="0"/>
    </xf>
    <xf numFmtId="43" fontId="15" fillId="5" borderId="37" xfId="1" applyFont="1" applyFill="1" applyBorder="1" applyAlignment="1">
      <alignment vertical="center" wrapText="1"/>
    </xf>
    <xf numFmtId="169" fontId="15" fillId="5" borderId="56" xfId="1" applyNumberFormat="1" applyFont="1" applyFill="1" applyBorder="1" applyAlignment="1">
      <alignment horizontal="center" vertical="center" wrapText="1"/>
    </xf>
    <xf numFmtId="165" fontId="26" fillId="5" borderId="57" xfId="0" applyNumberFormat="1" applyFont="1" applyFill="1" applyBorder="1" applyAlignment="1">
      <alignment horizontal="center" vertical="center" wrapText="1"/>
    </xf>
    <xf numFmtId="164" fontId="26" fillId="5" borderId="57" xfId="0" applyNumberFormat="1" applyFont="1" applyFill="1" applyBorder="1" applyAlignment="1">
      <alignment horizontal="center" vertical="center" wrapText="1"/>
    </xf>
    <xf numFmtId="170" fontId="15" fillId="5" borderId="37" xfId="1" applyNumberFormat="1" applyFont="1" applyFill="1" applyBorder="1" applyAlignment="1">
      <alignment horizontal="center" vertical="center" wrapText="1"/>
    </xf>
    <xf numFmtId="170" fontId="15" fillId="5" borderId="37" xfId="1" quotePrefix="1" applyNumberFormat="1" applyFont="1" applyFill="1" applyBorder="1" applyAlignment="1">
      <alignment horizontal="center" vertical="center" wrapText="1"/>
    </xf>
    <xf numFmtId="49" fontId="15" fillId="5" borderId="37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30" fillId="0" borderId="0" xfId="0" applyFont="1"/>
    <xf numFmtId="43" fontId="15" fillId="5" borderId="56" xfId="1" applyFont="1" applyFill="1" applyBorder="1" applyAlignment="1">
      <alignment horizontal="center" vertical="center" wrapText="1"/>
    </xf>
    <xf numFmtId="10" fontId="25" fillId="2" borderId="37" xfId="1" quotePrefix="1" applyNumberFormat="1" applyFont="1" applyFill="1" applyBorder="1" applyAlignment="1">
      <alignment horizontal="center" vertical="center" wrapText="1"/>
    </xf>
    <xf numFmtId="0" fontId="20" fillId="2" borderId="32" xfId="0" applyFont="1" applyFill="1" applyBorder="1" applyAlignment="1">
      <alignment horizontal="center" vertical="center" wrapText="1"/>
    </xf>
    <xf numFmtId="4" fontId="26" fillId="8" borderId="52" xfId="1" applyNumberFormat="1" applyFont="1" applyFill="1" applyBorder="1" applyAlignment="1">
      <alignment horizontal="center" vertical="center"/>
    </xf>
    <xf numFmtId="4" fontId="26" fillId="8" borderId="52" xfId="0" applyNumberFormat="1" applyFont="1" applyFill="1" applyBorder="1" applyAlignment="1">
      <alignment horizontal="center" vertical="center"/>
    </xf>
    <xf numFmtId="10" fontId="26" fillId="8" borderId="52" xfId="0" applyNumberFormat="1" applyFont="1" applyFill="1" applyBorder="1" applyAlignment="1">
      <alignment horizontal="center" vertical="center"/>
    </xf>
    <xf numFmtId="0" fontId="25" fillId="2" borderId="37" xfId="2" applyFont="1" applyFill="1" applyBorder="1" applyAlignment="1">
      <alignment horizontal="left" vertical="center"/>
    </xf>
    <xf numFmtId="10" fontId="2" fillId="0" borderId="37" xfId="1" quotePrefix="1" applyNumberFormat="1" applyFont="1" applyBorder="1" applyAlignment="1">
      <alignment horizontal="center" vertical="center" wrapText="1"/>
    </xf>
    <xf numFmtId="10" fontId="15" fillId="5" borderId="37" xfId="1" quotePrefix="1" applyNumberFormat="1" applyFont="1" applyFill="1" applyBorder="1" applyAlignment="1">
      <alignment horizontal="center" vertical="center" wrapText="1"/>
    </xf>
    <xf numFmtId="10" fontId="15" fillId="0" borderId="37" xfId="1" quotePrefix="1" applyNumberFormat="1" applyFont="1" applyBorder="1" applyAlignment="1">
      <alignment horizontal="center" vertical="center" wrapText="1"/>
    </xf>
    <xf numFmtId="10" fontId="2" fillId="0" borderId="46" xfId="1" applyNumberFormat="1" applyFont="1" applyBorder="1" applyAlignment="1">
      <alignment vertical="center"/>
    </xf>
    <xf numFmtId="4" fontId="2" fillId="0" borderId="0" xfId="0" applyNumberFormat="1" applyFont="1" applyAlignment="1">
      <alignment vertical="center"/>
    </xf>
    <xf numFmtId="49" fontId="2" fillId="0" borderId="37" xfId="0" applyNumberFormat="1" applyFont="1" applyBorder="1" applyAlignment="1" applyProtection="1">
      <alignment horizontal="center" vertical="center"/>
      <protection locked="0"/>
    </xf>
    <xf numFmtId="49" fontId="2" fillId="0" borderId="37" xfId="1" applyNumberFormat="1" applyFont="1" applyBorder="1" applyAlignment="1">
      <alignment vertical="center" wrapText="1"/>
    </xf>
    <xf numFmtId="4" fontId="29" fillId="7" borderId="0" xfId="0" applyNumberFormat="1" applyFont="1" applyFill="1" applyAlignment="1">
      <alignment horizontal="center"/>
    </xf>
    <xf numFmtId="164" fontId="15" fillId="5" borderId="53" xfId="2" applyNumberFormat="1" applyFont="1" applyFill="1" applyBorder="1" applyAlignment="1">
      <alignment horizontal="center" vertical="center" wrapText="1"/>
    </xf>
    <xf numFmtId="170" fontId="25" fillId="2" borderId="37" xfId="2" applyNumberFormat="1" applyFont="1" applyFill="1" applyBorder="1" applyAlignment="1">
      <alignment horizontal="center" vertical="center" wrapText="1"/>
    </xf>
    <xf numFmtId="1" fontId="25" fillId="2" borderId="37" xfId="2" applyNumberFormat="1" applyFont="1" applyFill="1" applyBorder="1" applyAlignment="1">
      <alignment horizontal="center" vertical="center" wrapText="1"/>
    </xf>
    <xf numFmtId="164" fontId="5" fillId="2" borderId="18" xfId="0" applyNumberFormat="1" applyFont="1" applyFill="1" applyBorder="1" applyAlignment="1">
      <alignment vertical="center"/>
    </xf>
    <xf numFmtId="164" fontId="25" fillId="2" borderId="37" xfId="2" applyNumberFormat="1" applyFont="1" applyFill="1" applyBorder="1" applyAlignment="1">
      <alignment horizontal="center" vertical="center" wrapText="1"/>
    </xf>
    <xf numFmtId="0" fontId="15" fillId="5" borderId="37" xfId="0" applyFont="1" applyFill="1" applyBorder="1" applyAlignment="1">
      <alignment horizontal="center" vertical="center"/>
    </xf>
    <xf numFmtId="0" fontId="15" fillId="5" borderId="37" xfId="2" applyFont="1" applyFill="1" applyBorder="1" applyAlignment="1">
      <alignment horizontal="left" vertical="center" wrapText="1"/>
    </xf>
    <xf numFmtId="0" fontId="2" fillId="0" borderId="37" xfId="1" applyNumberFormat="1" applyFont="1" applyBorder="1" applyAlignment="1">
      <alignment vertical="center" wrapText="1"/>
    </xf>
    <xf numFmtId="0" fontId="2" fillId="0" borderId="56" xfId="1" applyNumberFormat="1" applyFont="1" applyBorder="1" applyAlignment="1">
      <alignment horizontal="center" vertical="center" wrapText="1"/>
    </xf>
    <xf numFmtId="0" fontId="25" fillId="2" borderId="56" xfId="2" applyFont="1" applyFill="1" applyBorder="1" applyAlignment="1">
      <alignment horizontal="left" vertical="center"/>
    </xf>
    <xf numFmtId="0" fontId="2" fillId="0" borderId="69" xfId="0" applyFont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164" fontId="2" fillId="0" borderId="56" xfId="1" applyNumberFormat="1" applyFont="1" applyBorder="1" applyAlignment="1">
      <alignment horizontal="center" vertical="center" wrapText="1"/>
    </xf>
    <xf numFmtId="168" fontId="2" fillId="0" borderId="70" xfId="3" applyNumberFormat="1" applyFont="1" applyFill="1" applyBorder="1" applyAlignment="1">
      <alignment horizontal="center" vertical="center"/>
    </xf>
    <xf numFmtId="1" fontId="19" fillId="2" borderId="58" xfId="0" applyNumberFormat="1" applyFont="1" applyFill="1" applyBorder="1" applyAlignment="1">
      <alignment horizontal="center" vertical="center" wrapText="1"/>
    </xf>
    <xf numFmtId="49" fontId="15" fillId="5" borderId="37" xfId="2" applyNumberFormat="1" applyFont="1" applyFill="1" applyBorder="1" applyAlignment="1">
      <alignment horizontal="left" vertical="center"/>
    </xf>
    <xf numFmtId="43" fontId="15" fillId="0" borderId="37" xfId="1" applyFont="1" applyBorder="1" applyAlignment="1">
      <alignment vertical="center" wrapText="1"/>
    </xf>
    <xf numFmtId="43" fontId="2" fillId="0" borderId="37" xfId="1" applyFont="1" applyBorder="1" applyAlignment="1">
      <alignment horizontal="left" vertical="center" wrapText="1" indent="2"/>
    </xf>
    <xf numFmtId="4" fontId="25" fillId="9" borderId="52" xfId="1" applyNumberFormat="1" applyFont="1" applyFill="1" applyBorder="1" applyAlignment="1">
      <alignment horizontal="center" vertical="center"/>
    </xf>
    <xf numFmtId="4" fontId="25" fillId="9" borderId="52" xfId="0" applyNumberFormat="1" applyFont="1" applyFill="1" applyBorder="1" applyAlignment="1">
      <alignment horizontal="center" vertical="center"/>
    </xf>
    <xf numFmtId="10" fontId="25" fillId="9" borderId="52" xfId="0" applyNumberFormat="1" applyFont="1" applyFill="1" applyBorder="1" applyAlignment="1">
      <alignment horizontal="center" vertical="center"/>
    </xf>
    <xf numFmtId="4" fontId="25" fillId="10" borderId="52" xfId="1" applyNumberFormat="1" applyFont="1" applyFill="1" applyBorder="1" applyAlignment="1">
      <alignment horizontal="center" vertical="center"/>
    </xf>
    <xf numFmtId="4" fontId="25" fillId="10" borderId="52" xfId="0" applyNumberFormat="1" applyFont="1" applyFill="1" applyBorder="1" applyAlignment="1">
      <alignment horizontal="center" vertical="center"/>
    </xf>
    <xf numFmtId="10" fontId="25" fillId="10" borderId="52" xfId="0" applyNumberFormat="1" applyFont="1" applyFill="1" applyBorder="1" applyAlignment="1">
      <alignment horizontal="center" vertical="center"/>
    </xf>
    <xf numFmtId="0" fontId="15" fillId="0" borderId="37" xfId="0" applyFont="1" applyBorder="1" applyAlignment="1" applyProtection="1">
      <alignment horizontal="center" vertical="center"/>
      <protection locked="0"/>
    </xf>
    <xf numFmtId="0" fontId="18" fillId="0" borderId="0" xfId="0" applyFont="1" applyAlignment="1">
      <alignment vertical="center"/>
    </xf>
    <xf numFmtId="0" fontId="25" fillId="9" borderId="65" xfId="0" applyFont="1" applyFill="1" applyBorder="1" applyAlignment="1">
      <alignment vertical="center" wrapText="1"/>
    </xf>
    <xf numFmtId="0" fontId="25" fillId="9" borderId="34" xfId="0" applyFont="1" applyFill="1" applyBorder="1" applyAlignment="1">
      <alignment vertical="center" wrapText="1"/>
    </xf>
    <xf numFmtId="4" fontId="25" fillId="9" borderId="66" xfId="0" applyNumberFormat="1" applyFont="1" applyFill="1" applyBorder="1" applyAlignment="1">
      <alignment horizontal="center" vertical="center" wrapText="1"/>
    </xf>
    <xf numFmtId="3" fontId="25" fillId="9" borderId="66" xfId="0" applyNumberFormat="1" applyFont="1" applyFill="1" applyBorder="1" applyAlignment="1">
      <alignment horizontal="center" vertical="center" wrapText="1"/>
    </xf>
    <xf numFmtId="0" fontId="25" fillId="0" borderId="34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67" xfId="0" applyFont="1" applyBorder="1" applyAlignment="1">
      <alignment vertical="center" wrapText="1"/>
    </xf>
    <xf numFmtId="0" fontId="25" fillId="0" borderId="68" xfId="0" applyFont="1" applyBorder="1" applyAlignment="1">
      <alignment vertical="center" wrapText="1"/>
    </xf>
    <xf numFmtId="0" fontId="31" fillId="0" borderId="0" xfId="0" applyFont="1"/>
    <xf numFmtId="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4" fontId="0" fillId="0" borderId="0" xfId="0" applyNumberFormat="1" applyAlignment="1" applyProtection="1">
      <alignment horizontal="right"/>
      <protection locked="0"/>
    </xf>
    <xf numFmtId="171" fontId="31" fillId="0" borderId="0" xfId="0" applyNumberFormat="1" applyFont="1" applyAlignment="1">
      <alignment horizontal="left"/>
    </xf>
    <xf numFmtId="171" fontId="0" fillId="0" borderId="0" xfId="0" applyNumberFormat="1" applyAlignment="1">
      <alignment horizontal="right"/>
    </xf>
    <xf numFmtId="171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1" fillId="11" borderId="0" xfId="0" applyFont="1" applyFill="1"/>
    <xf numFmtId="171" fontId="0" fillId="6" borderId="0" xfId="0" applyNumberFormat="1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171" fontId="0" fillId="12" borderId="0" xfId="0" applyNumberFormat="1" applyFill="1" applyAlignment="1">
      <alignment horizontal="center"/>
    </xf>
    <xf numFmtId="171" fontId="0" fillId="6" borderId="0" xfId="0" applyNumberFormat="1" applyFill="1" applyAlignment="1" applyProtection="1">
      <alignment horizontal="center" vertical="center"/>
      <protection locked="0"/>
    </xf>
    <xf numFmtId="173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 vertical="center"/>
    </xf>
    <xf numFmtId="3" fontId="33" fillId="12" borderId="0" xfId="0" applyNumberFormat="1" applyFont="1" applyFill="1" applyAlignment="1">
      <alignment horizontal="center"/>
    </xf>
    <xf numFmtId="174" fontId="0" fillId="12" borderId="0" xfId="0" applyNumberFormat="1" applyFill="1"/>
    <xf numFmtId="3" fontId="0" fillId="0" borderId="0" xfId="0" applyNumberFormat="1"/>
    <xf numFmtId="174" fontId="0" fillId="7" borderId="0" xfId="0" applyNumberFormat="1" applyFill="1" applyAlignment="1" applyProtection="1">
      <alignment horizontal="center"/>
      <protection locked="0"/>
    </xf>
    <xf numFmtId="3" fontId="34" fillId="13" borderId="0" xfId="0" applyNumberFormat="1" applyFont="1" applyFill="1" applyAlignment="1">
      <alignment horizontal="center"/>
    </xf>
    <xf numFmtId="0" fontId="0" fillId="13" borderId="0" xfId="0" applyFill="1" applyAlignment="1">
      <alignment horizontal="center"/>
    </xf>
    <xf numFmtId="173" fontId="0" fillId="13" borderId="0" xfId="0" applyNumberFormat="1" applyFill="1" applyAlignment="1">
      <alignment horizontal="center"/>
    </xf>
    <xf numFmtId="171" fontId="0" fillId="7" borderId="0" xfId="0" applyNumberFormat="1" applyFill="1" applyAlignment="1" applyProtection="1">
      <alignment horizontal="center"/>
      <protection locked="0"/>
    </xf>
    <xf numFmtId="171" fontId="0" fillId="13" borderId="0" xfId="0" applyNumberFormat="1" applyFill="1" applyAlignment="1">
      <alignment horizontal="center"/>
    </xf>
    <xf numFmtId="2" fontId="31" fillId="13" borderId="0" xfId="0" applyNumberFormat="1" applyFont="1" applyFill="1" applyAlignment="1">
      <alignment horizontal="center"/>
    </xf>
    <xf numFmtId="0" fontId="0" fillId="0" borderId="71" xfId="0" applyBorder="1"/>
    <xf numFmtId="4" fontId="0" fillId="0" borderId="71" xfId="0" applyNumberFormat="1" applyBorder="1" applyAlignment="1">
      <alignment horizontal="right"/>
    </xf>
    <xf numFmtId="10" fontId="0" fillId="0" borderId="71" xfId="0" applyNumberFormat="1" applyBorder="1" applyAlignment="1">
      <alignment horizontal="right"/>
    </xf>
    <xf numFmtId="0" fontId="0" fillId="0" borderId="71" xfId="0" applyBorder="1" applyAlignment="1">
      <alignment horizontal="center"/>
    </xf>
    <xf numFmtId="171" fontId="31" fillId="11" borderId="0" xfId="0" applyNumberFormat="1" applyFont="1" applyFill="1" applyAlignment="1">
      <alignment horizontal="center"/>
    </xf>
    <xf numFmtId="0" fontId="31" fillId="11" borderId="0" xfId="0" applyFont="1" applyFill="1" applyAlignment="1">
      <alignment horizontal="center"/>
    </xf>
    <xf numFmtId="3" fontId="34" fillId="11" borderId="0" xfId="0" applyNumberFormat="1" applyFont="1" applyFill="1" applyAlignment="1">
      <alignment horizontal="center"/>
    </xf>
    <xf numFmtId="174" fontId="31" fillId="11" borderId="0" xfId="0" applyNumberFormat="1" applyFont="1" applyFill="1"/>
    <xf numFmtId="0" fontId="0" fillId="0" borderId="0" xfId="0" applyAlignment="1">
      <alignment horizontal="right"/>
    </xf>
    <xf numFmtId="0" fontId="0" fillId="0" borderId="72" xfId="0" applyBorder="1"/>
    <xf numFmtId="4" fontId="0" fillId="0" borderId="72" xfId="0" applyNumberFormat="1" applyBorder="1" applyAlignment="1">
      <alignment horizontal="right"/>
    </xf>
    <xf numFmtId="10" fontId="0" fillId="0" borderId="72" xfId="0" applyNumberFormat="1" applyBorder="1" applyAlignment="1">
      <alignment horizontal="right"/>
    </xf>
    <xf numFmtId="0" fontId="0" fillId="0" borderId="72" xfId="0" applyBorder="1" applyAlignment="1">
      <alignment horizontal="center"/>
    </xf>
    <xf numFmtId="4" fontId="0" fillId="0" borderId="72" xfId="0" applyNumberFormat="1" applyBorder="1"/>
    <xf numFmtId="2" fontId="0" fillId="0" borderId="0" xfId="0" applyNumberFormat="1"/>
    <xf numFmtId="0" fontId="0" fillId="11" borderId="0" xfId="0" applyFill="1" applyAlignment="1">
      <alignment horizontal="center"/>
    </xf>
    <xf numFmtId="1" fontId="33" fillId="11" borderId="0" xfId="0" applyNumberFormat="1" applyFont="1" applyFill="1" applyAlignment="1">
      <alignment horizontal="center"/>
    </xf>
    <xf numFmtId="176" fontId="0" fillId="11" borderId="0" xfId="0" applyNumberFormat="1" applyFill="1" applyAlignment="1">
      <alignment horizontal="center"/>
    </xf>
    <xf numFmtId="1" fontId="0" fillId="0" borderId="0" xfId="0" applyNumberFormat="1"/>
    <xf numFmtId="0" fontId="0" fillId="0" borderId="0" xfId="0" applyAlignment="1">
      <alignment horizontal="left" vertical="top"/>
    </xf>
    <xf numFmtId="0" fontId="35" fillId="0" borderId="0" xfId="0" applyFont="1"/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0" fontId="1" fillId="3" borderId="3" xfId="0" applyNumberFormat="1" applyFont="1" applyFill="1" applyBorder="1" applyAlignment="1">
      <alignment horizontal="center" vertical="center"/>
    </xf>
    <xf numFmtId="3" fontId="1" fillId="3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left" vertical="center"/>
    </xf>
    <xf numFmtId="3" fontId="34" fillId="5" borderId="0" xfId="0" applyNumberFormat="1" applyFont="1" applyFill="1"/>
    <xf numFmtId="4" fontId="1" fillId="0" borderId="0" xfId="0" applyNumberFormat="1" applyFont="1" applyAlignment="1">
      <alignment horizontal="right"/>
    </xf>
    <xf numFmtId="1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3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3" xfId="0" applyNumberFormat="1" applyBorder="1"/>
    <xf numFmtId="3" fontId="1" fillId="0" borderId="3" xfId="0" applyNumberFormat="1" applyFont="1" applyBorder="1" applyAlignment="1">
      <alignment horizontal="center"/>
    </xf>
    <xf numFmtId="0" fontId="0" fillId="5" borderId="1" xfId="0" applyFill="1" applyBorder="1"/>
    <xf numFmtId="4" fontId="0" fillId="5" borderId="1" xfId="0" applyNumberFormat="1" applyFill="1" applyBorder="1" applyAlignment="1">
      <alignment horizontal="center"/>
    </xf>
    <xf numFmtId="0" fontId="0" fillId="5" borderId="3" xfId="0" applyFill="1" applyBorder="1"/>
    <xf numFmtId="4" fontId="0" fillId="5" borderId="3" xfId="0" applyNumberFormat="1" applyFill="1" applyBorder="1" applyAlignment="1">
      <alignment horizontal="right"/>
    </xf>
    <xf numFmtId="3" fontId="1" fillId="5" borderId="3" xfId="0" applyNumberFormat="1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 vertical="center" wrapText="1"/>
    </xf>
    <xf numFmtId="4" fontId="1" fillId="3" borderId="2" xfId="0" applyNumberFormat="1" applyFont="1" applyFill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4" fontId="1" fillId="3" borderId="3" xfId="0" applyNumberFormat="1" applyFont="1" applyFill="1" applyBorder="1" applyAlignment="1">
      <alignment horizontal="center"/>
    </xf>
    <xf numFmtId="3" fontId="1" fillId="5" borderId="1" xfId="0" applyNumberFormat="1" applyFont="1" applyFill="1" applyBorder="1" applyAlignment="1">
      <alignment horizontal="center"/>
    </xf>
    <xf numFmtId="3" fontId="1" fillId="5" borderId="1" xfId="0" applyNumberFormat="1" applyFont="1" applyFill="1" applyBorder="1" applyAlignment="1">
      <alignment horizontal="right"/>
    </xf>
    <xf numFmtId="3" fontId="1" fillId="5" borderId="3" xfId="0" applyNumberFormat="1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4" fontId="28" fillId="0" borderId="0" xfId="0" applyNumberFormat="1" applyFont="1"/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7" fillId="2" borderId="1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5" fillId="10" borderId="65" xfId="0" applyFont="1" applyFill="1" applyBorder="1" applyAlignment="1">
      <alignment horizontal="center" vertical="center" wrapText="1"/>
    </xf>
    <xf numFmtId="0" fontId="25" fillId="10" borderId="66" xfId="0" applyFont="1" applyFill="1" applyBorder="1" applyAlignment="1">
      <alignment horizontal="center" vertical="center" wrapText="1"/>
    </xf>
    <xf numFmtId="0" fontId="25" fillId="10" borderId="34" xfId="0" applyFont="1" applyFill="1" applyBorder="1" applyAlignment="1">
      <alignment horizontal="center" vertical="center" wrapText="1"/>
    </xf>
    <xf numFmtId="0" fontId="25" fillId="10" borderId="36" xfId="0" applyFont="1" applyFill="1" applyBorder="1" applyAlignment="1">
      <alignment horizontal="center" vertical="center" wrapText="1"/>
    </xf>
    <xf numFmtId="0" fontId="25" fillId="10" borderId="67" xfId="0" applyFont="1" applyFill="1" applyBorder="1" applyAlignment="1">
      <alignment horizontal="center" vertical="center" wrapText="1"/>
    </xf>
    <xf numFmtId="0" fontId="25" fillId="10" borderId="68" xfId="0" applyFont="1" applyFill="1" applyBorder="1" applyAlignment="1">
      <alignment horizontal="center" vertical="center" wrapText="1"/>
    </xf>
    <xf numFmtId="0" fontId="25" fillId="10" borderId="62" xfId="0" applyFont="1" applyFill="1" applyBorder="1" applyAlignment="1">
      <alignment horizontal="center" vertical="center"/>
    </xf>
    <xf numFmtId="0" fontId="25" fillId="10" borderId="63" xfId="0" applyFont="1" applyFill="1" applyBorder="1" applyAlignment="1">
      <alignment horizontal="center" vertical="center"/>
    </xf>
    <xf numFmtId="0" fontId="25" fillId="10" borderId="64" xfId="0" applyFont="1" applyFill="1" applyBorder="1" applyAlignment="1">
      <alignment horizontal="center" vertical="center"/>
    </xf>
    <xf numFmtId="4" fontId="20" fillId="10" borderId="52" xfId="0" applyNumberFormat="1" applyFont="1" applyFill="1" applyBorder="1" applyAlignment="1">
      <alignment horizontal="center" vertical="center"/>
    </xf>
    <xf numFmtId="10" fontId="20" fillId="10" borderId="52" xfId="0" applyNumberFormat="1" applyFont="1" applyFill="1" applyBorder="1" applyAlignment="1">
      <alignment horizontal="center" vertical="center"/>
    </xf>
    <xf numFmtId="0" fontId="25" fillId="9" borderId="65" xfId="0" applyFont="1" applyFill="1" applyBorder="1" applyAlignment="1">
      <alignment horizontal="center" vertical="center" wrapText="1"/>
    </xf>
    <xf numFmtId="0" fontId="25" fillId="9" borderId="66" xfId="0" applyFont="1" applyFill="1" applyBorder="1" applyAlignment="1">
      <alignment horizontal="center" vertical="center" wrapText="1"/>
    </xf>
    <xf numFmtId="0" fontId="25" fillId="9" borderId="34" xfId="0" applyFont="1" applyFill="1" applyBorder="1" applyAlignment="1">
      <alignment horizontal="center" vertical="center" wrapText="1"/>
    </xf>
    <xf numFmtId="0" fontId="25" fillId="9" borderId="36" xfId="0" applyFont="1" applyFill="1" applyBorder="1" applyAlignment="1">
      <alignment horizontal="center" vertical="center" wrapText="1"/>
    </xf>
    <xf numFmtId="0" fontId="25" fillId="9" borderId="67" xfId="0" applyFont="1" applyFill="1" applyBorder="1" applyAlignment="1">
      <alignment horizontal="center" vertical="center" wrapText="1"/>
    </xf>
    <xf numFmtId="0" fontId="25" fillId="9" borderId="68" xfId="0" applyFont="1" applyFill="1" applyBorder="1" applyAlignment="1">
      <alignment horizontal="center" vertical="center" wrapText="1"/>
    </xf>
    <xf numFmtId="0" fontId="25" fillId="9" borderId="62" xfId="0" applyFont="1" applyFill="1" applyBorder="1" applyAlignment="1">
      <alignment horizontal="center" vertical="center"/>
    </xf>
    <xf numFmtId="0" fontId="25" fillId="9" borderId="63" xfId="0" applyFont="1" applyFill="1" applyBorder="1" applyAlignment="1">
      <alignment horizontal="center" vertical="center"/>
    </xf>
    <xf numFmtId="0" fontId="25" fillId="9" borderId="64" xfId="0" applyFont="1" applyFill="1" applyBorder="1" applyAlignment="1">
      <alignment horizontal="center" vertical="center"/>
    </xf>
    <xf numFmtId="4" fontId="20" fillId="9" borderId="52" xfId="0" applyNumberFormat="1" applyFont="1" applyFill="1" applyBorder="1" applyAlignment="1">
      <alignment horizontal="center" vertical="center"/>
    </xf>
    <xf numFmtId="10" fontId="20" fillId="9" borderId="52" xfId="0" applyNumberFormat="1" applyFont="1" applyFill="1" applyBorder="1" applyAlignment="1">
      <alignment horizontal="center" vertical="center"/>
    </xf>
    <xf numFmtId="0" fontId="26" fillId="8" borderId="65" xfId="0" applyFont="1" applyFill="1" applyBorder="1" applyAlignment="1">
      <alignment horizontal="center" vertical="center" wrapText="1"/>
    </xf>
    <xf numFmtId="0" fontId="26" fillId="8" borderId="66" xfId="0" applyFont="1" applyFill="1" applyBorder="1" applyAlignment="1">
      <alignment horizontal="center" vertical="center" wrapText="1"/>
    </xf>
    <xf numFmtId="0" fontId="26" fillId="8" borderId="34" xfId="0" applyFont="1" applyFill="1" applyBorder="1" applyAlignment="1">
      <alignment horizontal="center" vertical="center" wrapText="1"/>
    </xf>
    <xf numFmtId="0" fontId="26" fillId="8" borderId="36" xfId="0" applyFont="1" applyFill="1" applyBorder="1" applyAlignment="1">
      <alignment horizontal="center" vertical="center" wrapText="1"/>
    </xf>
    <xf numFmtId="0" fontId="26" fillId="8" borderId="67" xfId="0" applyFont="1" applyFill="1" applyBorder="1" applyAlignment="1">
      <alignment horizontal="center" vertical="center" wrapText="1"/>
    </xf>
    <xf numFmtId="0" fontId="26" fillId="8" borderId="68" xfId="0" applyFont="1" applyFill="1" applyBorder="1" applyAlignment="1">
      <alignment horizontal="center" vertical="center" wrapText="1"/>
    </xf>
    <xf numFmtId="0" fontId="26" fillId="8" borderId="62" xfId="0" applyFont="1" applyFill="1" applyBorder="1" applyAlignment="1">
      <alignment horizontal="center" vertical="center"/>
    </xf>
    <xf numFmtId="0" fontId="26" fillId="8" borderId="63" xfId="0" applyFont="1" applyFill="1" applyBorder="1" applyAlignment="1">
      <alignment horizontal="center" vertical="center"/>
    </xf>
    <xf numFmtId="0" fontId="26" fillId="8" borderId="64" xfId="0" applyFont="1" applyFill="1" applyBorder="1" applyAlignment="1">
      <alignment horizontal="center" vertical="center"/>
    </xf>
    <xf numFmtId="4" fontId="27" fillId="8" borderId="52" xfId="0" applyNumberFormat="1" applyFont="1" applyFill="1" applyBorder="1" applyAlignment="1">
      <alignment horizontal="center" vertical="center"/>
    </xf>
    <xf numFmtId="10" fontId="27" fillId="8" borderId="52" xfId="0" applyNumberFormat="1" applyFont="1" applyFill="1" applyBorder="1" applyAlignment="1">
      <alignment horizontal="center" vertical="center"/>
    </xf>
    <xf numFmtId="0" fontId="26" fillId="6" borderId="65" xfId="0" applyFont="1" applyFill="1" applyBorder="1" applyAlignment="1">
      <alignment horizontal="center" vertical="center" wrapText="1"/>
    </xf>
    <xf numFmtId="0" fontId="26" fillId="6" borderId="66" xfId="0" applyFont="1" applyFill="1" applyBorder="1" applyAlignment="1">
      <alignment horizontal="center" vertical="center" wrapText="1"/>
    </xf>
    <xf numFmtId="0" fontId="26" fillId="6" borderId="34" xfId="0" applyFont="1" applyFill="1" applyBorder="1" applyAlignment="1">
      <alignment horizontal="center" vertical="center" wrapText="1"/>
    </xf>
    <xf numFmtId="0" fontId="26" fillId="6" borderId="36" xfId="0" applyFont="1" applyFill="1" applyBorder="1" applyAlignment="1">
      <alignment horizontal="center" vertical="center" wrapText="1"/>
    </xf>
    <xf numFmtId="0" fontId="26" fillId="6" borderId="67" xfId="0" applyFont="1" applyFill="1" applyBorder="1" applyAlignment="1">
      <alignment horizontal="center" vertical="center" wrapText="1"/>
    </xf>
    <xf numFmtId="0" fontId="26" fillId="6" borderId="68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center" vertical="center"/>
    </xf>
    <xf numFmtId="0" fontId="26" fillId="6" borderId="63" xfId="0" applyFont="1" applyFill="1" applyBorder="1" applyAlignment="1">
      <alignment horizontal="center" vertical="center"/>
    </xf>
    <xf numFmtId="0" fontId="26" fillId="6" borderId="64" xfId="0" applyFont="1" applyFill="1" applyBorder="1" applyAlignment="1">
      <alignment horizontal="center" vertical="center"/>
    </xf>
    <xf numFmtId="4" fontId="27" fillId="6" borderId="52" xfId="0" applyNumberFormat="1" applyFont="1" applyFill="1" applyBorder="1" applyAlignment="1">
      <alignment horizontal="center" vertical="center"/>
    </xf>
    <xf numFmtId="10" fontId="27" fillId="6" borderId="52" xfId="0" applyNumberFormat="1" applyFont="1" applyFill="1" applyBorder="1" applyAlignment="1">
      <alignment horizontal="center" vertical="center"/>
    </xf>
    <xf numFmtId="170" fontId="27" fillId="6" borderId="52" xfId="0" applyNumberFormat="1" applyFont="1" applyFill="1" applyBorder="1" applyAlignment="1">
      <alignment horizontal="center" vertical="center"/>
    </xf>
    <xf numFmtId="0" fontId="24" fillId="2" borderId="60" xfId="0" applyFont="1" applyFill="1" applyBorder="1" applyAlignment="1">
      <alignment horizontal="center" vertical="center" wrapText="1"/>
    </xf>
    <xf numFmtId="0" fontId="24" fillId="2" borderId="35" xfId="0" applyFont="1" applyFill="1" applyBorder="1" applyAlignment="1">
      <alignment horizontal="center" vertical="center" wrapText="1"/>
    </xf>
    <xf numFmtId="0" fontId="24" fillId="2" borderId="61" xfId="0" applyFont="1" applyFill="1" applyBorder="1" applyAlignment="1">
      <alignment horizontal="center" vertical="center" wrapText="1"/>
    </xf>
    <xf numFmtId="0" fontId="24" fillId="2" borderId="30" xfId="0" applyFont="1" applyFill="1" applyBorder="1" applyAlignment="1">
      <alignment horizontal="center" vertical="center" wrapText="1"/>
    </xf>
    <xf numFmtId="0" fontId="24" fillId="2" borderId="33" xfId="0" applyFont="1" applyFill="1" applyBorder="1" applyAlignment="1">
      <alignment horizontal="center" vertical="center" wrapText="1"/>
    </xf>
    <xf numFmtId="0" fontId="24" fillId="2" borderId="28" xfId="0" applyFont="1" applyFill="1" applyBorder="1" applyAlignment="1">
      <alignment horizontal="center" vertical="center" wrapText="1"/>
    </xf>
    <xf numFmtId="0" fontId="24" fillId="2" borderId="29" xfId="0" applyFont="1" applyFill="1" applyBorder="1" applyAlignment="1">
      <alignment horizontal="center" vertical="center" wrapText="1"/>
    </xf>
    <xf numFmtId="0" fontId="24" fillId="2" borderId="31" xfId="0" applyFont="1" applyFill="1" applyBorder="1" applyAlignment="1">
      <alignment horizontal="center" vertical="center" wrapText="1"/>
    </xf>
    <xf numFmtId="0" fontId="24" fillId="2" borderId="32" xfId="0" applyFont="1" applyFill="1" applyBorder="1" applyAlignment="1">
      <alignment horizontal="center" vertical="center" wrapText="1"/>
    </xf>
    <xf numFmtId="0" fontId="20" fillId="2" borderId="54" xfId="0" applyFont="1" applyFill="1" applyBorder="1" applyAlignment="1">
      <alignment horizontal="center" vertical="center" wrapText="1"/>
    </xf>
    <xf numFmtId="0" fontId="20" fillId="2" borderId="55" xfId="0" applyFont="1" applyFill="1" applyBorder="1" applyAlignment="1">
      <alignment horizontal="center" vertical="center" wrapText="1"/>
    </xf>
    <xf numFmtId="0" fontId="24" fillId="2" borderId="54" xfId="0" applyFont="1" applyFill="1" applyBorder="1" applyAlignment="1">
      <alignment horizontal="center" vertical="center" wrapText="1"/>
    </xf>
    <xf numFmtId="0" fontId="24" fillId="2" borderId="55" xfId="0" applyFont="1" applyFill="1" applyBorder="1" applyAlignment="1">
      <alignment horizontal="center" vertical="center" wrapText="1"/>
    </xf>
    <xf numFmtId="175" fontId="0" fillId="13" borderId="0" xfId="0" applyNumberFormat="1" applyFill="1" applyAlignment="1">
      <alignment horizontal="center"/>
    </xf>
    <xf numFmtId="2" fontId="1" fillId="3" borderId="1" xfId="0" applyNumberFormat="1" applyFont="1" applyFill="1" applyBorder="1" applyAlignment="1">
      <alignment horizontal="center" vertical="center" wrapText="1"/>
    </xf>
    <xf numFmtId="2" fontId="1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71" fontId="0" fillId="6" borderId="0" xfId="0" applyNumberFormat="1" applyFill="1" applyAlignment="1" applyProtection="1">
      <alignment horizontal="center" vertical="center"/>
      <protection locked="0"/>
    </xf>
    <xf numFmtId="0" fontId="0" fillId="12" borderId="0" xfId="0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2" fontId="1" fillId="3" borderId="73" xfId="0" applyNumberFormat="1" applyFont="1" applyFill="1" applyBorder="1" applyAlignment="1">
      <alignment horizontal="center" vertical="center" wrapText="1"/>
    </xf>
    <xf numFmtId="2" fontId="1" fillId="3" borderId="74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</cellXfs>
  <cellStyles count="4">
    <cellStyle name="Normal" xfId="0" builtinId="0"/>
    <cellStyle name="Normal_Planilha 8_Resumo de Medição PH" xfId="2" xr:uid="{A1DA19BA-1ACC-4A89-9196-6136E2F08071}"/>
    <cellStyle name="Porcentagem 2" xfId="3" xr:uid="{FE0778F8-7534-4405-B646-AF3F5EB7CFCF}"/>
    <cellStyle name="Vírgula" xfId="1" builtinId="3"/>
  </cellStyles>
  <dxfs count="10"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sz="800"/>
              <a:t>VALORES</a:t>
            </a:r>
            <a:r>
              <a:rPr lang="pt-BR" sz="800" baseline="0"/>
              <a:t> GERAL DE VENDA - VGV</a:t>
            </a:r>
          </a:p>
          <a:p>
            <a:pPr>
              <a:defRPr sz="800"/>
            </a:pPr>
            <a:r>
              <a:rPr lang="pt-BR" sz="800" baseline="0"/>
              <a:t>Valores em bilhões R$ </a:t>
            </a:r>
            <a:endParaRPr lang="pt-BR" sz="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GRAFICOS!$A$3</c:f>
              <c:strCache>
                <c:ptCount val="1"/>
                <c:pt idx="0">
                  <c:v>VGV ANUAL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GRAFICOS!$B$1:$U$2</c:f>
              <c:multiLvlStrCache>
                <c:ptCount val="20"/>
                <c:lvl>
                  <c:pt idx="0">
                    <c:v>2026</c:v>
                  </c:pt>
                  <c:pt idx="1">
                    <c:v>2027</c:v>
                  </c:pt>
                  <c:pt idx="2">
                    <c:v>2028</c:v>
                  </c:pt>
                  <c:pt idx="3">
                    <c:v>2029</c:v>
                  </c:pt>
                  <c:pt idx="4">
                    <c:v>2030</c:v>
                  </c:pt>
                  <c:pt idx="5">
                    <c:v>2031</c:v>
                  </c:pt>
                  <c:pt idx="6">
                    <c:v>2032</c:v>
                  </c:pt>
                  <c:pt idx="7">
                    <c:v>2033</c:v>
                  </c:pt>
                  <c:pt idx="8">
                    <c:v>2034</c:v>
                  </c:pt>
                  <c:pt idx="9">
                    <c:v>2035</c:v>
                  </c:pt>
                  <c:pt idx="10">
                    <c:v>2036</c:v>
                  </c:pt>
                  <c:pt idx="11">
                    <c:v>2037</c:v>
                  </c:pt>
                  <c:pt idx="12">
                    <c:v>2038</c:v>
                  </c:pt>
                  <c:pt idx="13">
                    <c:v>2039</c:v>
                  </c:pt>
                  <c:pt idx="14">
                    <c:v>2040</c:v>
                  </c:pt>
                  <c:pt idx="15">
                    <c:v>2041</c:v>
                  </c:pt>
                  <c:pt idx="16">
                    <c:v>2042</c:v>
                  </c:pt>
                  <c:pt idx="17">
                    <c:v>2043</c:v>
                  </c:pt>
                  <c:pt idx="18">
                    <c:v>2044</c:v>
                  </c:pt>
                  <c:pt idx="19">
                    <c:v>2045</c:v>
                  </c:pt>
                </c:lvl>
                <c:lvl>
                  <c:pt idx="0">
                    <c:v>1° ano</c:v>
                  </c:pt>
                  <c:pt idx="1">
                    <c:v>2° ano</c:v>
                  </c:pt>
                  <c:pt idx="2">
                    <c:v>3° ano</c:v>
                  </c:pt>
                  <c:pt idx="3">
                    <c:v>4° ano</c:v>
                  </c:pt>
                  <c:pt idx="4">
                    <c:v>5° ano</c:v>
                  </c:pt>
                  <c:pt idx="5">
                    <c:v>6° ano</c:v>
                  </c:pt>
                  <c:pt idx="6">
                    <c:v>7° ano</c:v>
                  </c:pt>
                  <c:pt idx="7">
                    <c:v>8° ano</c:v>
                  </c:pt>
                  <c:pt idx="8">
                    <c:v>9° ano</c:v>
                  </c:pt>
                  <c:pt idx="9">
                    <c:v>10° ano</c:v>
                  </c:pt>
                  <c:pt idx="10">
                    <c:v>11° ano</c:v>
                  </c:pt>
                  <c:pt idx="11">
                    <c:v>12° ano</c:v>
                  </c:pt>
                  <c:pt idx="12">
                    <c:v>13° ano</c:v>
                  </c:pt>
                  <c:pt idx="13">
                    <c:v>14° ano</c:v>
                  </c:pt>
                  <c:pt idx="14">
                    <c:v>15° ano</c:v>
                  </c:pt>
                  <c:pt idx="15">
                    <c:v>16° ano</c:v>
                  </c:pt>
                  <c:pt idx="16">
                    <c:v>17° ano</c:v>
                  </c:pt>
                  <c:pt idx="17">
                    <c:v>18° ano</c:v>
                  </c:pt>
                  <c:pt idx="18">
                    <c:v>19° ano</c:v>
                  </c:pt>
                  <c:pt idx="19">
                    <c:v>20° ano</c:v>
                  </c:pt>
                </c:lvl>
              </c:multiLvlStrCache>
            </c:multiLvlStrRef>
          </c:cat>
          <c:val>
            <c:numRef>
              <c:f>GRAFICOS!$B$3:$U$3</c:f>
              <c:numCache>
                <c:formatCode>#,##0.00</c:formatCode>
                <c:ptCount val="20"/>
                <c:pt idx="0">
                  <c:v>8.7990814760000008E-2</c:v>
                </c:pt>
                <c:pt idx="1">
                  <c:v>0.23198899314520002</c:v>
                </c:pt>
                <c:pt idx="2">
                  <c:v>0.30265480541265</c:v>
                </c:pt>
                <c:pt idx="3">
                  <c:v>0.29889229577639997</c:v>
                </c:pt>
                <c:pt idx="4">
                  <c:v>0.31209727593749997</c:v>
                </c:pt>
                <c:pt idx="5">
                  <c:v>0.21227429456980001</c:v>
                </c:pt>
                <c:pt idx="6">
                  <c:v>0.28733943643925003</c:v>
                </c:pt>
                <c:pt idx="7">
                  <c:v>0.39925376751785002</c:v>
                </c:pt>
                <c:pt idx="8">
                  <c:v>0.51776176682024999</c:v>
                </c:pt>
                <c:pt idx="9">
                  <c:v>0.36674482805984504</c:v>
                </c:pt>
                <c:pt idx="10">
                  <c:v>0.43471349271698007</c:v>
                </c:pt>
                <c:pt idx="11">
                  <c:v>0.42666495611403005</c:v>
                </c:pt>
                <c:pt idx="12">
                  <c:v>0.387860076734445</c:v>
                </c:pt>
                <c:pt idx="13">
                  <c:v>0.51114116371059004</c:v>
                </c:pt>
                <c:pt idx="14">
                  <c:v>0.53138348297104998</c:v>
                </c:pt>
                <c:pt idx="15">
                  <c:v>0.30125764490017004</c:v>
                </c:pt>
                <c:pt idx="16">
                  <c:v>0.27420403206050997</c:v>
                </c:pt>
                <c:pt idx="17">
                  <c:v>0.33747424787871005</c:v>
                </c:pt>
                <c:pt idx="18">
                  <c:v>0.28783704307871</c:v>
                </c:pt>
                <c:pt idx="19">
                  <c:v>0.28783704307871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0-4E85-A396-821FF333E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569535"/>
        <c:axId val="1558570015"/>
      </c:barChart>
      <c:lineChart>
        <c:grouping val="standard"/>
        <c:varyColors val="0"/>
        <c:ser>
          <c:idx val="1"/>
          <c:order val="1"/>
          <c:tx>
            <c:strRef>
              <c:f>GRAFICOS!$A$4</c:f>
              <c:strCache>
                <c:ptCount val="1"/>
                <c:pt idx="0">
                  <c:v>VGV ACUMULADO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GRAFICOS!$B$1:$U$2</c:f>
              <c:multiLvlStrCache>
                <c:ptCount val="20"/>
                <c:lvl>
                  <c:pt idx="0">
                    <c:v>2026</c:v>
                  </c:pt>
                  <c:pt idx="1">
                    <c:v>2027</c:v>
                  </c:pt>
                  <c:pt idx="2">
                    <c:v>2028</c:v>
                  </c:pt>
                  <c:pt idx="3">
                    <c:v>2029</c:v>
                  </c:pt>
                  <c:pt idx="4">
                    <c:v>2030</c:v>
                  </c:pt>
                  <c:pt idx="5">
                    <c:v>2031</c:v>
                  </c:pt>
                  <c:pt idx="6">
                    <c:v>2032</c:v>
                  </c:pt>
                  <c:pt idx="7">
                    <c:v>2033</c:v>
                  </c:pt>
                  <c:pt idx="8">
                    <c:v>2034</c:v>
                  </c:pt>
                  <c:pt idx="9">
                    <c:v>2035</c:v>
                  </c:pt>
                  <c:pt idx="10">
                    <c:v>2036</c:v>
                  </c:pt>
                  <c:pt idx="11">
                    <c:v>2037</c:v>
                  </c:pt>
                  <c:pt idx="12">
                    <c:v>2038</c:v>
                  </c:pt>
                  <c:pt idx="13">
                    <c:v>2039</c:v>
                  </c:pt>
                  <c:pt idx="14">
                    <c:v>2040</c:v>
                  </c:pt>
                  <c:pt idx="15">
                    <c:v>2041</c:v>
                  </c:pt>
                  <c:pt idx="16">
                    <c:v>2042</c:v>
                  </c:pt>
                  <c:pt idx="17">
                    <c:v>2043</c:v>
                  </c:pt>
                  <c:pt idx="18">
                    <c:v>2044</c:v>
                  </c:pt>
                  <c:pt idx="19">
                    <c:v>2045</c:v>
                  </c:pt>
                </c:lvl>
                <c:lvl>
                  <c:pt idx="0">
                    <c:v>1° ano</c:v>
                  </c:pt>
                  <c:pt idx="1">
                    <c:v>2° ano</c:v>
                  </c:pt>
                  <c:pt idx="2">
                    <c:v>3° ano</c:v>
                  </c:pt>
                  <c:pt idx="3">
                    <c:v>4° ano</c:v>
                  </c:pt>
                  <c:pt idx="4">
                    <c:v>5° ano</c:v>
                  </c:pt>
                  <c:pt idx="5">
                    <c:v>6° ano</c:v>
                  </c:pt>
                  <c:pt idx="6">
                    <c:v>7° ano</c:v>
                  </c:pt>
                  <c:pt idx="7">
                    <c:v>8° ano</c:v>
                  </c:pt>
                  <c:pt idx="8">
                    <c:v>9° ano</c:v>
                  </c:pt>
                  <c:pt idx="9">
                    <c:v>10° ano</c:v>
                  </c:pt>
                  <c:pt idx="10">
                    <c:v>11° ano</c:v>
                  </c:pt>
                  <c:pt idx="11">
                    <c:v>12° ano</c:v>
                  </c:pt>
                  <c:pt idx="12">
                    <c:v>13° ano</c:v>
                  </c:pt>
                  <c:pt idx="13">
                    <c:v>14° ano</c:v>
                  </c:pt>
                  <c:pt idx="14">
                    <c:v>15° ano</c:v>
                  </c:pt>
                  <c:pt idx="15">
                    <c:v>16° ano</c:v>
                  </c:pt>
                  <c:pt idx="16">
                    <c:v>17° ano</c:v>
                  </c:pt>
                  <c:pt idx="17">
                    <c:v>18° ano</c:v>
                  </c:pt>
                  <c:pt idx="18">
                    <c:v>19° ano</c:v>
                  </c:pt>
                  <c:pt idx="19">
                    <c:v>20° ano</c:v>
                  </c:pt>
                </c:lvl>
              </c:multiLvlStrCache>
            </c:multiLvlStrRef>
          </c:cat>
          <c:val>
            <c:numRef>
              <c:f>GRAFICOS!$B$4:$U$4</c:f>
              <c:numCache>
                <c:formatCode>#,##0.00</c:formatCode>
                <c:ptCount val="20"/>
                <c:pt idx="0">
                  <c:v>8.7990814760000008E-2</c:v>
                </c:pt>
                <c:pt idx="1">
                  <c:v>0.31997980790520003</c:v>
                </c:pt>
                <c:pt idx="2">
                  <c:v>0.62263461331784997</c:v>
                </c:pt>
                <c:pt idx="3">
                  <c:v>0.92152690909424995</c:v>
                </c:pt>
                <c:pt idx="4">
                  <c:v>1.23362418503175</c:v>
                </c:pt>
                <c:pt idx="5">
                  <c:v>1.4458984796015502</c:v>
                </c:pt>
                <c:pt idx="6">
                  <c:v>1.7332379160408</c:v>
                </c:pt>
                <c:pt idx="7">
                  <c:v>2.13249168355865</c:v>
                </c:pt>
                <c:pt idx="8">
                  <c:v>2.6502534503789001</c:v>
                </c:pt>
                <c:pt idx="9">
                  <c:v>3.016998278438745</c:v>
                </c:pt>
                <c:pt idx="10">
                  <c:v>3.451711771155725</c:v>
                </c:pt>
                <c:pt idx="11">
                  <c:v>3.8783767272697549</c:v>
                </c:pt>
                <c:pt idx="12">
                  <c:v>4.2662368040042002</c:v>
                </c:pt>
                <c:pt idx="13">
                  <c:v>4.7773779677147905</c:v>
                </c:pt>
                <c:pt idx="14">
                  <c:v>5.3087614506858403</c:v>
                </c:pt>
                <c:pt idx="15">
                  <c:v>5.6100190955860105</c:v>
                </c:pt>
                <c:pt idx="16">
                  <c:v>5.8842231276465204</c:v>
                </c:pt>
                <c:pt idx="17">
                  <c:v>6.2216973755252303</c:v>
                </c:pt>
                <c:pt idx="18">
                  <c:v>6.5095344186039403</c:v>
                </c:pt>
                <c:pt idx="19">
                  <c:v>6.7973714616826495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A0-4E85-A396-821FF333E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8833903"/>
        <c:axId val="1558569055"/>
      </c:lineChart>
      <c:catAx>
        <c:axId val="155856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8570015"/>
        <c:crosses val="autoZero"/>
        <c:auto val="1"/>
        <c:lblAlgn val="ctr"/>
        <c:lblOffset val="100"/>
        <c:noMultiLvlLbl val="0"/>
      </c:catAx>
      <c:valAx>
        <c:axId val="155857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8569535"/>
        <c:crosses val="autoZero"/>
        <c:crossBetween val="between"/>
      </c:valAx>
      <c:valAx>
        <c:axId val="1558569055"/>
        <c:scaling>
          <c:orientation val="minMax"/>
        </c:scaling>
        <c:delete val="0"/>
        <c:axPos val="r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8833903"/>
        <c:crosses val="max"/>
        <c:crossBetween val="between"/>
      </c:valAx>
      <c:catAx>
        <c:axId val="15488339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585690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sz="1000"/>
              <a:t>EMPREGOS</a:t>
            </a:r>
            <a:r>
              <a:rPr lang="pt-BR" sz="1000" baseline="0"/>
              <a:t> GERADOS</a:t>
            </a:r>
          </a:p>
          <a:p>
            <a:pPr>
              <a:defRPr sz="1000"/>
            </a:pPr>
            <a:r>
              <a:rPr lang="pt-BR" sz="1000" baseline="0"/>
              <a:t>Direto e Indiretos</a:t>
            </a:r>
            <a:endParaRPr lang="pt-BR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GRAFICOS!$A$41</c:f>
              <c:strCache>
                <c:ptCount val="1"/>
                <c:pt idx="0">
                  <c:v>EMPREGOS ANUAL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GRAFICOS!$B$39:$E$40</c:f>
              <c:multiLvlStrCache>
                <c:ptCount val="4"/>
                <c:lvl>
                  <c:pt idx="0">
                    <c:v>2026</c:v>
                  </c:pt>
                  <c:pt idx="1">
                    <c:v>2030</c:v>
                  </c:pt>
                  <c:pt idx="2">
                    <c:v>2035</c:v>
                  </c:pt>
                  <c:pt idx="3">
                    <c:v>2045</c:v>
                  </c:pt>
                </c:lvl>
                <c:lvl>
                  <c:pt idx="0">
                    <c:v>1° ano</c:v>
                  </c:pt>
                  <c:pt idx="1">
                    <c:v>5° ano</c:v>
                  </c:pt>
                  <c:pt idx="2">
                    <c:v>10° ano</c:v>
                  </c:pt>
                  <c:pt idx="3">
                    <c:v>20° ano</c:v>
                  </c:pt>
                </c:lvl>
              </c:multiLvlStrCache>
            </c:multiLvlStrRef>
          </c:cat>
          <c:val>
            <c:numRef>
              <c:f>GRAFICOS!$B$41:$E$41</c:f>
              <c:numCache>
                <c:formatCode>#,##0</c:formatCode>
                <c:ptCount val="4"/>
                <c:pt idx="0">
                  <c:v>2200</c:v>
                </c:pt>
                <c:pt idx="1">
                  <c:v>29000</c:v>
                </c:pt>
                <c:pt idx="2">
                  <c:v>46200</c:v>
                </c:pt>
                <c:pt idx="3">
                  <c:v>123800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F-4536-A7F9-D1FABA834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5726896"/>
        <c:axId val="1225727856"/>
      </c:barChart>
      <c:lineChart>
        <c:grouping val="standard"/>
        <c:varyColors val="0"/>
        <c:ser>
          <c:idx val="1"/>
          <c:order val="1"/>
          <c:tx>
            <c:strRef>
              <c:f>GRAFICOS!$A$42</c:f>
              <c:strCache>
                <c:ptCount val="1"/>
                <c:pt idx="0">
                  <c:v>EMPREGOS ACUMULADO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2"/>
              <c:layout>
                <c:manualLayout>
                  <c:x val="-2.8237192416296991E-2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35F-4536-A7F9-D1FABA83439F}"/>
                </c:ext>
              </c:extLst>
            </c:dLbl>
            <c:dLbl>
              <c:idx val="3"/>
              <c:layout>
                <c:manualLayout>
                  <c:x val="-2.9581820626596846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5F-4536-A7F9-D1FABA8343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GRAFICOS!$B$39:$E$40</c:f>
              <c:multiLvlStrCache>
                <c:ptCount val="4"/>
                <c:lvl>
                  <c:pt idx="0">
                    <c:v>2026</c:v>
                  </c:pt>
                  <c:pt idx="1">
                    <c:v>2030</c:v>
                  </c:pt>
                  <c:pt idx="2">
                    <c:v>2035</c:v>
                  </c:pt>
                  <c:pt idx="3">
                    <c:v>2045</c:v>
                  </c:pt>
                </c:lvl>
                <c:lvl>
                  <c:pt idx="0">
                    <c:v>1° ano</c:v>
                  </c:pt>
                  <c:pt idx="1">
                    <c:v>5° ano</c:v>
                  </c:pt>
                  <c:pt idx="2">
                    <c:v>10° ano</c:v>
                  </c:pt>
                  <c:pt idx="3">
                    <c:v>20° ano</c:v>
                  </c:pt>
                </c:lvl>
              </c:multiLvlStrCache>
            </c:multiLvlStrRef>
          </c:cat>
          <c:val>
            <c:numRef>
              <c:f>GRAFICOS!$B$42:$E$42</c:f>
              <c:numCache>
                <c:formatCode>#,##0</c:formatCode>
                <c:ptCount val="4"/>
                <c:pt idx="0">
                  <c:v>2200</c:v>
                </c:pt>
                <c:pt idx="1">
                  <c:v>31200</c:v>
                </c:pt>
                <c:pt idx="2">
                  <c:v>75200</c:v>
                </c:pt>
                <c:pt idx="3">
                  <c:v>170000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5F-4536-A7F9-D1FABA834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726896"/>
        <c:axId val="1225727856"/>
      </c:lineChart>
      <c:catAx>
        <c:axId val="122572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5727856"/>
        <c:crosses val="autoZero"/>
        <c:auto val="1"/>
        <c:lblAlgn val="ctr"/>
        <c:lblOffset val="100"/>
        <c:noMultiLvlLbl val="0"/>
      </c:catAx>
      <c:valAx>
        <c:axId val="122572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572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sz="800"/>
              <a:t>VALORES DE INVESTIMENTOS - VI</a:t>
            </a:r>
          </a:p>
          <a:p>
            <a:pPr>
              <a:defRPr sz="800"/>
            </a:pPr>
            <a:r>
              <a:rPr lang="pt-BR" sz="800"/>
              <a:t>Valores em bilhões R$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GRAFICOS!$A$67</c:f>
              <c:strCache>
                <c:ptCount val="1"/>
                <c:pt idx="0">
                  <c:v>INVESTIMENTOS ANUAL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layout>
                <c:manualLayout>
                  <c:x val="1.2314962152616613E-2"/>
                  <c:y val="6.13228102747092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327-4B9E-9C7E-D97C1B54DD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GRAFICOS!$B$65:$U$66</c:f>
              <c:multiLvlStrCache>
                <c:ptCount val="20"/>
                <c:lvl>
                  <c:pt idx="0">
                    <c:v>2026</c:v>
                  </c:pt>
                  <c:pt idx="1">
                    <c:v>2027</c:v>
                  </c:pt>
                  <c:pt idx="2">
                    <c:v>2028</c:v>
                  </c:pt>
                  <c:pt idx="3">
                    <c:v>2029</c:v>
                  </c:pt>
                  <c:pt idx="4">
                    <c:v>2030</c:v>
                  </c:pt>
                  <c:pt idx="5">
                    <c:v>2031</c:v>
                  </c:pt>
                  <c:pt idx="6">
                    <c:v>2032</c:v>
                  </c:pt>
                  <c:pt idx="7">
                    <c:v>2033</c:v>
                  </c:pt>
                  <c:pt idx="8">
                    <c:v>2034</c:v>
                  </c:pt>
                  <c:pt idx="9">
                    <c:v>2035</c:v>
                  </c:pt>
                  <c:pt idx="10">
                    <c:v>2036</c:v>
                  </c:pt>
                  <c:pt idx="11">
                    <c:v>2037</c:v>
                  </c:pt>
                  <c:pt idx="12">
                    <c:v>2038</c:v>
                  </c:pt>
                  <c:pt idx="13">
                    <c:v>2039</c:v>
                  </c:pt>
                  <c:pt idx="14">
                    <c:v>2040</c:v>
                  </c:pt>
                  <c:pt idx="15">
                    <c:v>2041</c:v>
                  </c:pt>
                  <c:pt idx="16">
                    <c:v>2042</c:v>
                  </c:pt>
                  <c:pt idx="17">
                    <c:v>2043</c:v>
                  </c:pt>
                  <c:pt idx="18">
                    <c:v>2044</c:v>
                  </c:pt>
                  <c:pt idx="19">
                    <c:v>2045</c:v>
                  </c:pt>
                </c:lvl>
                <c:lvl>
                  <c:pt idx="0">
                    <c:v>1° ano</c:v>
                  </c:pt>
                  <c:pt idx="1">
                    <c:v>2° ano</c:v>
                  </c:pt>
                  <c:pt idx="2">
                    <c:v>3° ano</c:v>
                  </c:pt>
                  <c:pt idx="3">
                    <c:v>4° ano</c:v>
                  </c:pt>
                  <c:pt idx="4">
                    <c:v>5° ano</c:v>
                  </c:pt>
                  <c:pt idx="5">
                    <c:v>6° ano</c:v>
                  </c:pt>
                  <c:pt idx="6">
                    <c:v>7° ano</c:v>
                  </c:pt>
                  <c:pt idx="7">
                    <c:v>8° ano</c:v>
                  </c:pt>
                  <c:pt idx="8">
                    <c:v>9° ano</c:v>
                  </c:pt>
                  <c:pt idx="9">
                    <c:v>10° ano</c:v>
                  </c:pt>
                  <c:pt idx="10">
                    <c:v>11° ano</c:v>
                  </c:pt>
                  <c:pt idx="11">
                    <c:v>12° ano</c:v>
                  </c:pt>
                  <c:pt idx="12">
                    <c:v>13° ano</c:v>
                  </c:pt>
                  <c:pt idx="13">
                    <c:v>14° ano</c:v>
                  </c:pt>
                  <c:pt idx="14">
                    <c:v>15° ano</c:v>
                  </c:pt>
                  <c:pt idx="15">
                    <c:v>16° ano</c:v>
                  </c:pt>
                  <c:pt idx="16">
                    <c:v>17° ano</c:v>
                  </c:pt>
                  <c:pt idx="17">
                    <c:v>18° ano</c:v>
                  </c:pt>
                  <c:pt idx="18">
                    <c:v>19° ano</c:v>
                  </c:pt>
                  <c:pt idx="19">
                    <c:v>20° ano</c:v>
                  </c:pt>
                </c:lvl>
              </c:multiLvlStrCache>
            </c:multiLvlStrRef>
          </c:cat>
          <c:val>
            <c:numRef>
              <c:f>GRAFICOS!$B$67:$U$67</c:f>
              <c:numCache>
                <c:formatCode>#,##0.00</c:formatCode>
                <c:ptCount val="20"/>
                <c:pt idx="0">
                  <c:v>2.4415598210949355E-2</c:v>
                </c:pt>
                <c:pt idx="1">
                  <c:v>8.7573681166984038E-2</c:v>
                </c:pt>
                <c:pt idx="2">
                  <c:v>0.16676675413351266</c:v>
                </c:pt>
                <c:pt idx="3">
                  <c:v>0.19298121510538302</c:v>
                </c:pt>
                <c:pt idx="4">
                  <c:v>0.19030309343280932</c:v>
                </c:pt>
                <c:pt idx="5">
                  <c:v>0.20364209337321998</c:v>
                </c:pt>
                <c:pt idx="6">
                  <c:v>0.25844996358754824</c:v>
                </c:pt>
                <c:pt idx="7">
                  <c:v>0.28666898249389178</c:v>
                </c:pt>
                <c:pt idx="8">
                  <c:v>0.33207555633502162</c:v>
                </c:pt>
                <c:pt idx="9">
                  <c:v>0.3354452424391145</c:v>
                </c:pt>
                <c:pt idx="10">
                  <c:v>0.38237769201430405</c:v>
                </c:pt>
                <c:pt idx="11">
                  <c:v>0.38104392819024191</c:v>
                </c:pt>
                <c:pt idx="12">
                  <c:v>0.35144851964747692</c:v>
                </c:pt>
                <c:pt idx="13">
                  <c:v>0.36200265759476069</c:v>
                </c:pt>
                <c:pt idx="14">
                  <c:v>0.36454481971118169</c:v>
                </c:pt>
                <c:pt idx="15">
                  <c:v>0.30117836850830182</c:v>
                </c:pt>
                <c:pt idx="16">
                  <c:v>0.27016389546900466</c:v>
                </c:pt>
                <c:pt idx="17">
                  <c:v>0.30421575239769977</c:v>
                </c:pt>
                <c:pt idx="18">
                  <c:v>0.26040517787729589</c:v>
                </c:pt>
                <c:pt idx="19">
                  <c:v>0.26395422299575694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7-4B9E-9C7E-D97C1B54D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2320207"/>
        <c:axId val="1292318287"/>
      </c:barChart>
      <c:lineChart>
        <c:grouping val="standard"/>
        <c:varyColors val="0"/>
        <c:ser>
          <c:idx val="1"/>
          <c:order val="1"/>
          <c:tx>
            <c:strRef>
              <c:f>GRAFICOS!$A$68</c:f>
              <c:strCache>
                <c:ptCount val="1"/>
                <c:pt idx="0">
                  <c:v>INVESTIMENTOS ACUM.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4.2222727380399762E-2"/>
                  <c:y val="-5.21243887335028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327-4B9E-9C7E-D97C1B54DDE7}"/>
                </c:ext>
              </c:extLst>
            </c:dLbl>
            <c:dLbl>
              <c:idx val="2"/>
              <c:layout>
                <c:manualLayout>
                  <c:x val="-4.5741287995433089E-2"/>
                  <c:y val="-7.35873723296511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327-4B9E-9C7E-D97C1B54DDE7}"/>
                </c:ext>
              </c:extLst>
            </c:dLbl>
            <c:dLbl>
              <c:idx val="3"/>
              <c:layout>
                <c:manualLayout>
                  <c:x val="-3.5185606150333164E-2"/>
                  <c:y val="-4.90582482197674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327-4B9E-9C7E-D97C1B54DDE7}"/>
                </c:ext>
              </c:extLst>
            </c:dLbl>
            <c:dLbl>
              <c:idx val="4"/>
              <c:layout>
                <c:manualLayout>
                  <c:x val="-1.9352083382683256E-2"/>
                  <c:y val="-3.67936861648256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327-4B9E-9C7E-D97C1B54DDE7}"/>
                </c:ext>
              </c:extLst>
            </c:dLbl>
            <c:dLbl>
              <c:idx val="5"/>
              <c:layout>
                <c:manualLayout>
                  <c:x val="-1.0542962572482932E-2"/>
                  <c:y val="-6.09384521633151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327-4B9E-9C7E-D97C1B54DDE7}"/>
                </c:ext>
              </c:extLst>
            </c:dLbl>
            <c:dLbl>
              <c:idx val="13"/>
              <c:layout>
                <c:manualLayout>
                  <c:x val="-3.6944886457849789E-2"/>
                  <c:y val="-4.29259671922965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327-4B9E-9C7E-D97C1B54DDE7}"/>
                </c:ext>
              </c:extLst>
            </c:dLbl>
            <c:dLbl>
              <c:idx val="15"/>
              <c:layout>
                <c:manualLayout>
                  <c:x val="-4.7500568302949735E-2"/>
                  <c:y val="-3.67936861648255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327-4B9E-9C7E-D97C1B54DDE7}"/>
                </c:ext>
              </c:extLst>
            </c:dLbl>
            <c:dLbl>
              <c:idx val="16"/>
              <c:layout>
                <c:manualLayout>
                  <c:x val="-1.2901239885564752E-16"/>
                  <c:y val="-3.67936861648255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327-4B9E-9C7E-D97C1B54DDE7}"/>
                </c:ext>
              </c:extLst>
            </c:dLbl>
            <c:dLbl>
              <c:idx val="17"/>
              <c:layout>
                <c:manualLayout>
                  <c:x val="-3.3426325842816608E-2"/>
                  <c:y val="-3.67936861648255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327-4B9E-9C7E-D97C1B54DDE7}"/>
                </c:ext>
              </c:extLst>
            </c:dLbl>
            <c:dLbl>
              <c:idx val="18"/>
              <c:layout>
                <c:manualLayout>
                  <c:x val="-3.1667045535299691E-2"/>
                  <c:y val="-3.98598266785610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327-4B9E-9C7E-D97C1B54DDE7}"/>
                </c:ext>
              </c:extLst>
            </c:dLbl>
            <c:dLbl>
              <c:idx val="19"/>
              <c:layout>
                <c:manualLayout>
                  <c:x val="0"/>
                  <c:y val="-1.22645620549418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327-4B9E-9C7E-D97C1B54DD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GRAFICOS!$B$65:$U$66</c:f>
              <c:multiLvlStrCache>
                <c:ptCount val="20"/>
                <c:lvl>
                  <c:pt idx="0">
                    <c:v>2026</c:v>
                  </c:pt>
                  <c:pt idx="1">
                    <c:v>2027</c:v>
                  </c:pt>
                  <c:pt idx="2">
                    <c:v>2028</c:v>
                  </c:pt>
                  <c:pt idx="3">
                    <c:v>2029</c:v>
                  </c:pt>
                  <c:pt idx="4">
                    <c:v>2030</c:v>
                  </c:pt>
                  <c:pt idx="5">
                    <c:v>2031</c:v>
                  </c:pt>
                  <c:pt idx="6">
                    <c:v>2032</c:v>
                  </c:pt>
                  <c:pt idx="7">
                    <c:v>2033</c:v>
                  </c:pt>
                  <c:pt idx="8">
                    <c:v>2034</c:v>
                  </c:pt>
                  <c:pt idx="9">
                    <c:v>2035</c:v>
                  </c:pt>
                  <c:pt idx="10">
                    <c:v>2036</c:v>
                  </c:pt>
                  <c:pt idx="11">
                    <c:v>2037</c:v>
                  </c:pt>
                  <c:pt idx="12">
                    <c:v>2038</c:v>
                  </c:pt>
                  <c:pt idx="13">
                    <c:v>2039</c:v>
                  </c:pt>
                  <c:pt idx="14">
                    <c:v>2040</c:v>
                  </c:pt>
                  <c:pt idx="15">
                    <c:v>2041</c:v>
                  </c:pt>
                  <c:pt idx="16">
                    <c:v>2042</c:v>
                  </c:pt>
                  <c:pt idx="17">
                    <c:v>2043</c:v>
                  </c:pt>
                  <c:pt idx="18">
                    <c:v>2044</c:v>
                  </c:pt>
                  <c:pt idx="19">
                    <c:v>2045</c:v>
                  </c:pt>
                </c:lvl>
                <c:lvl>
                  <c:pt idx="0">
                    <c:v>1° ano</c:v>
                  </c:pt>
                  <c:pt idx="1">
                    <c:v>2° ano</c:v>
                  </c:pt>
                  <c:pt idx="2">
                    <c:v>3° ano</c:v>
                  </c:pt>
                  <c:pt idx="3">
                    <c:v>4° ano</c:v>
                  </c:pt>
                  <c:pt idx="4">
                    <c:v>5° ano</c:v>
                  </c:pt>
                  <c:pt idx="5">
                    <c:v>6° ano</c:v>
                  </c:pt>
                  <c:pt idx="6">
                    <c:v>7° ano</c:v>
                  </c:pt>
                  <c:pt idx="7">
                    <c:v>8° ano</c:v>
                  </c:pt>
                  <c:pt idx="8">
                    <c:v>9° ano</c:v>
                  </c:pt>
                  <c:pt idx="9">
                    <c:v>10° ano</c:v>
                  </c:pt>
                  <c:pt idx="10">
                    <c:v>11° ano</c:v>
                  </c:pt>
                  <c:pt idx="11">
                    <c:v>12° ano</c:v>
                  </c:pt>
                  <c:pt idx="12">
                    <c:v>13° ano</c:v>
                  </c:pt>
                  <c:pt idx="13">
                    <c:v>14° ano</c:v>
                  </c:pt>
                  <c:pt idx="14">
                    <c:v>15° ano</c:v>
                  </c:pt>
                  <c:pt idx="15">
                    <c:v>16° ano</c:v>
                  </c:pt>
                  <c:pt idx="16">
                    <c:v>17° ano</c:v>
                  </c:pt>
                  <c:pt idx="17">
                    <c:v>18° ano</c:v>
                  </c:pt>
                  <c:pt idx="18">
                    <c:v>19° ano</c:v>
                  </c:pt>
                  <c:pt idx="19">
                    <c:v>20° ano</c:v>
                  </c:pt>
                </c:lvl>
              </c:multiLvlStrCache>
            </c:multiLvlStrRef>
          </c:cat>
          <c:val>
            <c:numRef>
              <c:f>GRAFICOS!$B$68:$U$68</c:f>
              <c:numCache>
                <c:formatCode>#,##0.00</c:formatCode>
                <c:ptCount val="20"/>
                <c:pt idx="0">
                  <c:v>2.4415598210949355E-2</c:v>
                </c:pt>
                <c:pt idx="1">
                  <c:v>0.11198927937793339</c:v>
                </c:pt>
                <c:pt idx="2">
                  <c:v>0.27875603351144607</c:v>
                </c:pt>
                <c:pt idx="3">
                  <c:v>0.47173724861682909</c:v>
                </c:pt>
                <c:pt idx="4">
                  <c:v>0.66204034204963835</c:v>
                </c:pt>
                <c:pt idx="5">
                  <c:v>0.86568243542285828</c:v>
                </c:pt>
                <c:pt idx="6">
                  <c:v>1.1241323990104064</c:v>
                </c:pt>
                <c:pt idx="7">
                  <c:v>1.4108013815042981</c:v>
                </c:pt>
                <c:pt idx="8">
                  <c:v>1.7428769378393199</c:v>
                </c:pt>
                <c:pt idx="9">
                  <c:v>2.0783221802784344</c:v>
                </c:pt>
                <c:pt idx="10">
                  <c:v>2.4606998722927385</c:v>
                </c:pt>
                <c:pt idx="11">
                  <c:v>2.8417438004829805</c:v>
                </c:pt>
                <c:pt idx="12">
                  <c:v>3.1931923201304575</c:v>
                </c:pt>
                <c:pt idx="13">
                  <c:v>3.5551949777252183</c:v>
                </c:pt>
                <c:pt idx="14">
                  <c:v>3.9197397974363999</c:v>
                </c:pt>
                <c:pt idx="15">
                  <c:v>4.2209181659447017</c:v>
                </c:pt>
                <c:pt idx="16">
                  <c:v>4.4910820614137066</c:v>
                </c:pt>
                <c:pt idx="17">
                  <c:v>4.7952978138114064</c:v>
                </c:pt>
                <c:pt idx="18">
                  <c:v>5.055702991688702</c:v>
                </c:pt>
                <c:pt idx="19">
                  <c:v>5.319657214684459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27-4B9E-9C7E-D97C1B54D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2320207"/>
        <c:axId val="1292318287"/>
      </c:lineChart>
      <c:catAx>
        <c:axId val="129232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2318287"/>
        <c:crosses val="autoZero"/>
        <c:auto val="1"/>
        <c:lblAlgn val="ctr"/>
        <c:lblOffset val="100"/>
        <c:noMultiLvlLbl val="0"/>
      </c:catAx>
      <c:valAx>
        <c:axId val="129231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232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6</xdr:row>
      <xdr:rowOff>68580</xdr:rowOff>
    </xdr:from>
    <xdr:to>
      <xdr:col>10</xdr:col>
      <xdr:colOff>259080</xdr:colOff>
      <xdr:row>30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9F0FBE-A5AE-CB71-A9BD-2D29DC954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331470</xdr:colOff>
      <xdr:row>43</xdr:row>
      <xdr:rowOff>22860</xdr:rowOff>
    </xdr:from>
    <xdr:to>
      <xdr:col>13</xdr:col>
      <xdr:colOff>510540</xdr:colOff>
      <xdr:row>61</xdr:row>
      <xdr:rowOff>144780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E35286A-E590-13F3-E786-13B59E74E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651510</xdr:colOff>
      <xdr:row>69</xdr:row>
      <xdr:rowOff>45720</xdr:rowOff>
    </xdr:from>
    <xdr:to>
      <xdr:col>10</xdr:col>
      <xdr:colOff>533400</xdr:colOff>
      <xdr:row>93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95B016-4C73-AAF8-16B4-4685FE155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16</xdr:row>
      <xdr:rowOff>92104</xdr:rowOff>
    </xdr:from>
    <xdr:to>
      <xdr:col>5</xdr:col>
      <xdr:colOff>281940</xdr:colOff>
      <xdr:row>20</xdr:row>
      <xdr:rowOff>152691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4AC9C47-7356-104D-6BDB-0CAD028C7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941984"/>
          <a:ext cx="5097780" cy="9140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4016-E7A9-42A9-84EE-C93EACE94474}">
  <sheetPr>
    <tabColor rgb="FF00B0F0"/>
  </sheetPr>
  <dimension ref="A1:V224"/>
  <sheetViews>
    <sheetView showGridLines="0" showZeros="0" tabSelected="1" topLeftCell="A3" zoomScaleNormal="100" workbookViewId="0">
      <pane ySplit="4" topLeftCell="A44" activePane="bottomLeft" state="frozenSplit"/>
      <selection activeCell="A3" sqref="A3"/>
      <selection pane="bottomLeft" activeCell="S54" sqref="S54:U59"/>
    </sheetView>
  </sheetViews>
  <sheetFormatPr defaultRowHeight="13.8" x14ac:dyDescent="0.25"/>
  <cols>
    <col min="1" max="1" width="7.09765625" customWidth="1"/>
    <col min="2" max="2" width="11.796875" customWidth="1"/>
    <col min="3" max="3" width="19.69921875" customWidth="1"/>
    <col min="4" max="4" width="13.59765625" customWidth="1"/>
    <col min="5" max="7" width="10.69921875" style="1" customWidth="1"/>
    <col min="8" max="9" width="12.796875" style="1" customWidth="1"/>
    <col min="10" max="10" width="11.796875" style="1" customWidth="1"/>
    <col min="11" max="11" width="11.796875" style="2" customWidth="1"/>
    <col min="12" max="15" width="11.796875" style="1" customWidth="1"/>
    <col min="18" max="18" width="10.296875" customWidth="1"/>
    <col min="19" max="19" width="12.69921875" customWidth="1"/>
    <col min="20" max="20" width="10.296875" customWidth="1"/>
    <col min="21" max="21" width="12.3984375" bestFit="1" customWidth="1"/>
  </cols>
  <sheetData>
    <row r="1" spans="1:18" ht="17.399999999999999" x14ac:dyDescent="0.25">
      <c r="A1" s="12" t="s">
        <v>0</v>
      </c>
      <c r="B1" s="13"/>
      <c r="C1" s="13"/>
      <c r="D1" s="13"/>
      <c r="E1" s="14"/>
      <c r="F1" s="14"/>
      <c r="G1" s="14"/>
      <c r="H1" s="14"/>
      <c r="I1" s="14"/>
      <c r="J1" s="14"/>
      <c r="K1" s="15"/>
      <c r="L1" s="14"/>
      <c r="M1" s="14"/>
      <c r="N1" s="14"/>
      <c r="O1" s="14"/>
    </row>
    <row r="2" spans="1:18" x14ac:dyDescent="0.25">
      <c r="A2" s="13" t="s">
        <v>71</v>
      </c>
      <c r="B2" s="13"/>
      <c r="C2" s="13"/>
      <c r="D2" s="13"/>
      <c r="E2" s="14"/>
      <c r="F2" s="14"/>
      <c r="G2" s="14"/>
      <c r="H2" s="14"/>
      <c r="I2" s="14"/>
      <c r="J2" s="14"/>
      <c r="K2" s="15"/>
      <c r="L2" s="14"/>
      <c r="M2" s="14"/>
      <c r="N2" s="14"/>
      <c r="O2" s="14"/>
    </row>
    <row r="3" spans="1:18" x14ac:dyDescent="0.25">
      <c r="A3" s="13" t="s">
        <v>70</v>
      </c>
      <c r="B3" s="13"/>
      <c r="C3" s="13"/>
      <c r="D3" s="13"/>
      <c r="E3" s="14"/>
      <c r="F3" s="14"/>
      <c r="G3" s="14"/>
      <c r="H3" s="14"/>
      <c r="I3" s="14"/>
      <c r="J3" s="14"/>
      <c r="K3" s="15"/>
      <c r="L3" s="14"/>
      <c r="M3" s="14"/>
      <c r="N3" s="14"/>
      <c r="O3" s="14"/>
    </row>
    <row r="4" spans="1:18" ht="14.4" thickBot="1" x14ac:dyDescent="0.3">
      <c r="A4" s="13"/>
      <c r="B4" s="13"/>
      <c r="C4" s="13"/>
      <c r="D4" s="13"/>
      <c r="E4" s="14"/>
      <c r="F4" s="14"/>
      <c r="G4" s="14"/>
      <c r="H4" s="14"/>
      <c r="I4" s="14"/>
      <c r="J4" s="14"/>
      <c r="K4" s="15"/>
      <c r="L4" s="14"/>
      <c r="M4" s="14"/>
      <c r="N4" s="14"/>
      <c r="O4" s="14"/>
    </row>
    <row r="5" spans="1:18" s="59" customFormat="1" ht="25.8" customHeight="1" thickTop="1" x14ac:dyDescent="0.25">
      <c r="A5" s="340" t="s">
        <v>1</v>
      </c>
      <c r="B5" s="343" t="s">
        <v>52</v>
      </c>
      <c r="C5" s="344"/>
      <c r="D5" s="345"/>
      <c r="E5" s="337" t="s">
        <v>75</v>
      </c>
      <c r="F5" s="337"/>
      <c r="G5" s="337"/>
      <c r="H5" s="337" t="s">
        <v>62</v>
      </c>
      <c r="I5" s="337"/>
      <c r="J5" s="337" t="s">
        <v>15</v>
      </c>
      <c r="K5" s="337"/>
      <c r="L5" s="337" t="s">
        <v>16</v>
      </c>
      <c r="M5" s="337"/>
      <c r="N5" s="337"/>
      <c r="O5" s="342"/>
    </row>
    <row r="6" spans="1:18" s="59" customFormat="1" ht="25.8" customHeight="1" thickBot="1" x14ac:dyDescent="0.3">
      <c r="A6" s="341"/>
      <c r="B6" s="62" t="s">
        <v>69</v>
      </c>
      <c r="C6" s="62" t="s">
        <v>67</v>
      </c>
      <c r="D6" s="62" t="s">
        <v>68</v>
      </c>
      <c r="E6" s="62" t="s">
        <v>74</v>
      </c>
      <c r="F6" s="62" t="s">
        <v>65</v>
      </c>
      <c r="G6" s="62" t="s">
        <v>66</v>
      </c>
      <c r="H6" s="62" t="s">
        <v>63</v>
      </c>
      <c r="I6" s="62" t="s">
        <v>64</v>
      </c>
      <c r="J6" s="62" t="s">
        <v>51</v>
      </c>
      <c r="K6" s="62" t="s">
        <v>57</v>
      </c>
      <c r="L6" s="62" t="s">
        <v>51</v>
      </c>
      <c r="M6" s="62" t="s">
        <v>58</v>
      </c>
      <c r="N6" s="62" t="s">
        <v>59</v>
      </c>
      <c r="O6" s="63" t="s">
        <v>60</v>
      </c>
    </row>
    <row r="7" spans="1:18" ht="15" thickTop="1" thickBot="1" x14ac:dyDescent="0.3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</row>
    <row r="8" spans="1:18" ht="19.2" customHeight="1" thickTop="1" x14ac:dyDescent="0.25">
      <c r="A8" s="223" t="s">
        <v>42</v>
      </c>
      <c r="B8" s="65"/>
      <c r="C8" s="65"/>
      <c r="D8" s="215">
        <f>SUM(D9,D32,D34)</f>
        <v>42784.619999999995</v>
      </c>
      <c r="E8" s="65"/>
      <c r="F8" s="65"/>
      <c r="G8" s="65"/>
      <c r="H8" s="215">
        <f t="shared" ref="H8:I8" si="0">SUM(H9,H32,H34)</f>
        <v>125684.39600000001</v>
      </c>
      <c r="I8" s="215">
        <f t="shared" si="0"/>
        <v>206039.99344262297</v>
      </c>
      <c r="J8" s="65"/>
      <c r="K8" s="65"/>
      <c r="L8" s="64">
        <f>SUM(L9,L32,L34)</f>
        <v>14</v>
      </c>
      <c r="M8" s="65"/>
      <c r="N8" s="65"/>
      <c r="O8" s="66"/>
      <c r="Q8" s="311">
        <f>L8+L57+L76+L104+L130+L126</f>
        <v>135</v>
      </c>
      <c r="R8" s="312">
        <f>Q8*150*2.8</f>
        <v>56700</v>
      </c>
    </row>
    <row r="9" spans="1:18" s="47" customFormat="1" ht="28.8" customHeight="1" x14ac:dyDescent="0.25">
      <c r="A9" s="67" t="s">
        <v>43</v>
      </c>
      <c r="B9" s="41" t="s">
        <v>44</v>
      </c>
      <c r="C9" s="42" t="s">
        <v>219</v>
      </c>
      <c r="D9" s="43">
        <f>SUM(D10:D30)</f>
        <v>20598.71</v>
      </c>
      <c r="E9" s="40"/>
      <c r="F9" s="44"/>
      <c r="G9" s="40"/>
      <c r="H9" s="43">
        <f>SUM(H10:H30)</f>
        <v>49908.032000000007</v>
      </c>
      <c r="I9" s="43">
        <f>SUM(I10:I30)</f>
        <v>81816.445901639352</v>
      </c>
      <c r="J9" s="45"/>
      <c r="K9" s="46"/>
      <c r="L9" s="45">
        <f>SUM(L10:L30)</f>
        <v>6</v>
      </c>
      <c r="M9" s="56">
        <f>H9/N9</f>
        <v>75.84807294832828</v>
      </c>
      <c r="N9" s="55">
        <f>SUMPRODUCT(N10:N30,O10:O30)</f>
        <v>658</v>
      </c>
      <c r="O9" s="68"/>
      <c r="Q9"/>
    </row>
    <row r="10" spans="1:18" ht="28.8" customHeight="1" x14ac:dyDescent="0.25">
      <c r="A10" s="69"/>
      <c r="B10" s="29" t="s">
        <v>45</v>
      </c>
      <c r="C10" s="29" t="s">
        <v>219</v>
      </c>
      <c r="D10" s="36">
        <v>1802.63</v>
      </c>
      <c r="E10" s="16">
        <v>4</v>
      </c>
      <c r="F10" s="18">
        <v>0.8</v>
      </c>
      <c r="G10" s="16">
        <f t="shared" ref="G10:G30" si="1">E10*F10</f>
        <v>3.2</v>
      </c>
      <c r="H10" s="36">
        <f t="shared" ref="H10:H30" si="2">D10*G10</f>
        <v>5768.4160000000011</v>
      </c>
      <c r="I10" s="36">
        <f>H10/0.61</f>
        <v>9456.4196721311491</v>
      </c>
      <c r="J10" s="19">
        <v>1</v>
      </c>
      <c r="K10" s="36">
        <f t="shared" ref="K10:K30" si="3">D10/J10</f>
        <v>1802.63</v>
      </c>
      <c r="L10" s="30">
        <f t="shared" ref="L10:L30" si="4">J10</f>
        <v>1</v>
      </c>
      <c r="M10" s="60">
        <f t="shared" ref="M10:M30" si="5">H10/(N10*O10)</f>
        <v>56.553098039215698</v>
      </c>
      <c r="N10" s="19">
        <v>6</v>
      </c>
      <c r="O10" s="70">
        <v>17</v>
      </c>
    </row>
    <row r="11" spans="1:18" ht="28.8" customHeight="1" x14ac:dyDescent="0.25">
      <c r="A11" s="69"/>
      <c r="B11" s="29" t="s">
        <v>46</v>
      </c>
      <c r="C11" s="29" t="s">
        <v>219</v>
      </c>
      <c r="D11" s="36">
        <v>2413.25</v>
      </c>
      <c r="E11" s="16">
        <v>4</v>
      </c>
      <c r="F11" s="18">
        <v>0.8</v>
      </c>
      <c r="G11" s="16">
        <f t="shared" si="1"/>
        <v>3.2</v>
      </c>
      <c r="H11" s="36">
        <f t="shared" si="2"/>
        <v>7722.4000000000005</v>
      </c>
      <c r="I11" s="36">
        <f t="shared" ref="I11:I30" si="6">H11/0.61</f>
        <v>12659.672131147543</v>
      </c>
      <c r="J11" s="19">
        <v>1</v>
      </c>
      <c r="K11" s="36">
        <f t="shared" si="3"/>
        <v>2413.25</v>
      </c>
      <c r="L11" s="30">
        <f t="shared" si="4"/>
        <v>1</v>
      </c>
      <c r="M11" s="60">
        <f t="shared" si="5"/>
        <v>64.353333333333339</v>
      </c>
      <c r="N11" s="19">
        <v>6</v>
      </c>
      <c r="O11" s="70">
        <v>20</v>
      </c>
    </row>
    <row r="12" spans="1:18" ht="28.8" customHeight="1" x14ac:dyDescent="0.25">
      <c r="A12" s="69"/>
      <c r="B12" s="29" t="s">
        <v>140</v>
      </c>
      <c r="C12" s="95" t="s">
        <v>220</v>
      </c>
      <c r="D12" s="96">
        <v>360</v>
      </c>
      <c r="E12" s="16"/>
      <c r="F12" s="18"/>
      <c r="G12" s="16"/>
      <c r="H12" s="36"/>
      <c r="I12" s="36"/>
      <c r="J12" s="19">
        <v>1</v>
      </c>
      <c r="K12" s="36">
        <f t="shared" ref="K12:K18" si="7">D12/J12</f>
        <v>360</v>
      </c>
      <c r="L12" s="30"/>
      <c r="M12" s="60"/>
      <c r="N12" s="19"/>
      <c r="O12" s="70"/>
    </row>
    <row r="13" spans="1:18" ht="28.8" customHeight="1" x14ac:dyDescent="0.25">
      <c r="A13" s="69"/>
      <c r="B13" s="29" t="s">
        <v>141</v>
      </c>
      <c r="C13" s="95" t="s">
        <v>220</v>
      </c>
      <c r="D13" s="96">
        <v>360</v>
      </c>
      <c r="E13" s="16"/>
      <c r="F13" s="18"/>
      <c r="G13" s="16"/>
      <c r="H13" s="36"/>
      <c r="I13" s="36"/>
      <c r="J13" s="19">
        <v>1</v>
      </c>
      <c r="K13" s="36">
        <f t="shared" si="7"/>
        <v>360</v>
      </c>
      <c r="L13" s="30"/>
      <c r="M13" s="60"/>
      <c r="N13" s="19"/>
      <c r="O13" s="70"/>
    </row>
    <row r="14" spans="1:18" ht="28.8" customHeight="1" x14ac:dyDescent="0.25">
      <c r="A14" s="69"/>
      <c r="B14" s="29" t="s">
        <v>142</v>
      </c>
      <c r="C14" s="95" t="s">
        <v>220</v>
      </c>
      <c r="D14" s="96">
        <v>360</v>
      </c>
      <c r="E14" s="16"/>
      <c r="F14" s="18"/>
      <c r="G14" s="16"/>
      <c r="H14" s="36"/>
      <c r="I14" s="36"/>
      <c r="J14" s="19">
        <v>1</v>
      </c>
      <c r="K14" s="36">
        <f t="shared" si="7"/>
        <v>360</v>
      </c>
      <c r="L14" s="30"/>
      <c r="M14" s="60"/>
      <c r="N14" s="19"/>
      <c r="O14" s="70"/>
    </row>
    <row r="15" spans="1:18" ht="28.8" customHeight="1" x14ac:dyDescent="0.25">
      <c r="A15" s="69"/>
      <c r="B15" s="29" t="s">
        <v>143</v>
      </c>
      <c r="C15" s="95" t="s">
        <v>220</v>
      </c>
      <c r="D15" s="96">
        <v>360</v>
      </c>
      <c r="E15" s="16"/>
      <c r="F15" s="18"/>
      <c r="G15" s="16"/>
      <c r="H15" s="36"/>
      <c r="I15" s="36"/>
      <c r="J15" s="19">
        <v>1</v>
      </c>
      <c r="K15" s="36">
        <f t="shared" si="7"/>
        <v>360</v>
      </c>
      <c r="L15" s="30"/>
      <c r="M15" s="60"/>
      <c r="N15" s="19"/>
      <c r="O15" s="70"/>
    </row>
    <row r="16" spans="1:18" ht="28.8" customHeight="1" x14ac:dyDescent="0.25">
      <c r="A16" s="69"/>
      <c r="B16" s="29" t="s">
        <v>144</v>
      </c>
      <c r="C16" s="95" t="s">
        <v>220</v>
      </c>
      <c r="D16" s="96">
        <v>360</v>
      </c>
      <c r="E16" s="16"/>
      <c r="F16" s="18"/>
      <c r="G16" s="16"/>
      <c r="H16" s="36"/>
      <c r="I16" s="36"/>
      <c r="J16" s="19">
        <v>1</v>
      </c>
      <c r="K16" s="36">
        <f t="shared" si="7"/>
        <v>360</v>
      </c>
      <c r="L16" s="30"/>
      <c r="M16" s="60"/>
      <c r="N16" s="19"/>
      <c r="O16" s="70"/>
    </row>
    <row r="17" spans="1:17" ht="28.8" customHeight="1" x14ac:dyDescent="0.25">
      <c r="A17" s="69"/>
      <c r="B17" s="29" t="s">
        <v>145</v>
      </c>
      <c r="C17" s="95" t="s">
        <v>220</v>
      </c>
      <c r="D17" s="96">
        <v>360</v>
      </c>
      <c r="E17" s="16"/>
      <c r="F17" s="18"/>
      <c r="G17" s="16"/>
      <c r="H17" s="36"/>
      <c r="I17" s="36"/>
      <c r="J17" s="19">
        <v>1</v>
      </c>
      <c r="K17" s="36">
        <f t="shared" si="7"/>
        <v>360</v>
      </c>
      <c r="L17" s="30"/>
      <c r="M17" s="60"/>
      <c r="N17" s="19"/>
      <c r="O17" s="70"/>
    </row>
    <row r="18" spans="1:17" ht="28.8" customHeight="1" x14ac:dyDescent="0.25">
      <c r="A18" s="69"/>
      <c r="B18" s="29" t="s">
        <v>146</v>
      </c>
      <c r="C18" s="95" t="s">
        <v>220</v>
      </c>
      <c r="D18" s="96">
        <v>360</v>
      </c>
      <c r="E18" s="16"/>
      <c r="F18" s="18"/>
      <c r="G18" s="16"/>
      <c r="H18" s="36"/>
      <c r="I18" s="36"/>
      <c r="J18" s="19">
        <v>1</v>
      </c>
      <c r="K18" s="36">
        <f t="shared" si="7"/>
        <v>360</v>
      </c>
      <c r="L18" s="30"/>
      <c r="M18" s="60"/>
      <c r="N18" s="19"/>
      <c r="O18" s="70"/>
    </row>
    <row r="19" spans="1:17" ht="28.8" customHeight="1" x14ac:dyDescent="0.25">
      <c r="A19" s="69"/>
      <c r="B19" s="29" t="s">
        <v>47</v>
      </c>
      <c r="C19" s="29" t="s">
        <v>219</v>
      </c>
      <c r="D19" s="36">
        <v>2423.0500000000002</v>
      </c>
      <c r="E19" s="16">
        <v>4</v>
      </c>
      <c r="F19" s="18">
        <v>0.8</v>
      </c>
      <c r="G19" s="16">
        <f t="shared" si="1"/>
        <v>3.2</v>
      </c>
      <c r="H19" s="36">
        <f t="shared" si="2"/>
        <v>7753.7600000000011</v>
      </c>
      <c r="I19" s="36">
        <f t="shared" si="6"/>
        <v>12711.081967213117</v>
      </c>
      <c r="J19" s="19">
        <v>1</v>
      </c>
      <c r="K19" s="36">
        <f t="shared" si="3"/>
        <v>2423.0500000000002</v>
      </c>
      <c r="L19" s="30">
        <f t="shared" si="4"/>
        <v>1</v>
      </c>
      <c r="M19" s="60">
        <f t="shared" si="5"/>
        <v>64.614666666666679</v>
      </c>
      <c r="N19" s="19">
        <v>6</v>
      </c>
      <c r="O19" s="70">
        <v>20</v>
      </c>
    </row>
    <row r="20" spans="1:17" ht="28.8" customHeight="1" x14ac:dyDescent="0.25">
      <c r="A20" s="69"/>
      <c r="B20" s="29" t="s">
        <v>48</v>
      </c>
      <c r="C20" s="29" t="s">
        <v>219</v>
      </c>
      <c r="D20" s="36">
        <v>2652.8</v>
      </c>
      <c r="E20" s="16">
        <v>4</v>
      </c>
      <c r="F20" s="18">
        <v>0.8</v>
      </c>
      <c r="G20" s="16">
        <f t="shared" si="1"/>
        <v>3.2</v>
      </c>
      <c r="H20" s="36">
        <f t="shared" si="2"/>
        <v>8488.9600000000009</v>
      </c>
      <c r="I20" s="36">
        <f t="shared" si="6"/>
        <v>13916.327868852461</v>
      </c>
      <c r="J20" s="19">
        <v>1</v>
      </c>
      <c r="K20" s="36">
        <f t="shared" si="3"/>
        <v>2652.8</v>
      </c>
      <c r="L20" s="30">
        <f t="shared" si="4"/>
        <v>1</v>
      </c>
      <c r="M20" s="60">
        <f t="shared" si="5"/>
        <v>70.741333333333344</v>
      </c>
      <c r="N20" s="19">
        <v>6</v>
      </c>
      <c r="O20" s="70">
        <v>20</v>
      </c>
    </row>
    <row r="21" spans="1:17" ht="28.8" customHeight="1" x14ac:dyDescent="0.25">
      <c r="A21" s="69"/>
      <c r="B21" s="29" t="s">
        <v>147</v>
      </c>
      <c r="C21" s="95" t="s">
        <v>220</v>
      </c>
      <c r="D21" s="96">
        <v>360</v>
      </c>
      <c r="E21" s="16"/>
      <c r="F21" s="18"/>
      <c r="G21" s="16"/>
      <c r="H21" s="36"/>
      <c r="I21" s="36"/>
      <c r="J21" s="19">
        <v>1</v>
      </c>
      <c r="K21" s="36">
        <f t="shared" ref="K21:K28" si="8">D21/J21</f>
        <v>360</v>
      </c>
      <c r="L21" s="30"/>
      <c r="M21" s="60"/>
      <c r="N21" s="19"/>
      <c r="O21" s="70"/>
    </row>
    <row r="22" spans="1:17" ht="28.8" customHeight="1" x14ac:dyDescent="0.25">
      <c r="A22" s="69"/>
      <c r="B22" s="29" t="s">
        <v>148</v>
      </c>
      <c r="C22" s="95" t="s">
        <v>220</v>
      </c>
      <c r="D22" s="96">
        <v>360</v>
      </c>
      <c r="E22" s="16"/>
      <c r="F22" s="18"/>
      <c r="G22" s="16"/>
      <c r="H22" s="36"/>
      <c r="I22" s="36"/>
      <c r="J22" s="19">
        <v>1</v>
      </c>
      <c r="K22" s="36">
        <f t="shared" si="8"/>
        <v>360</v>
      </c>
      <c r="L22" s="30"/>
      <c r="M22" s="60"/>
      <c r="N22" s="19"/>
      <c r="O22" s="70"/>
    </row>
    <row r="23" spans="1:17" ht="28.8" customHeight="1" x14ac:dyDescent="0.25">
      <c r="A23" s="69"/>
      <c r="B23" s="29" t="s">
        <v>149</v>
      </c>
      <c r="C23" s="95" t="s">
        <v>220</v>
      </c>
      <c r="D23" s="96">
        <v>360</v>
      </c>
      <c r="E23" s="16"/>
      <c r="F23" s="18"/>
      <c r="G23" s="16"/>
      <c r="H23" s="36"/>
      <c r="I23" s="36"/>
      <c r="J23" s="19">
        <v>1</v>
      </c>
      <c r="K23" s="36">
        <f t="shared" si="8"/>
        <v>360</v>
      </c>
      <c r="L23" s="30"/>
      <c r="M23" s="60"/>
      <c r="N23" s="19"/>
      <c r="O23" s="70"/>
    </row>
    <row r="24" spans="1:17" ht="28.8" customHeight="1" x14ac:dyDescent="0.25">
      <c r="A24" s="69"/>
      <c r="B24" s="29" t="s">
        <v>150</v>
      </c>
      <c r="C24" s="95" t="s">
        <v>220</v>
      </c>
      <c r="D24" s="96">
        <v>360</v>
      </c>
      <c r="E24" s="16"/>
      <c r="F24" s="18"/>
      <c r="G24" s="16"/>
      <c r="H24" s="36"/>
      <c r="I24" s="36"/>
      <c r="J24" s="19">
        <v>1</v>
      </c>
      <c r="K24" s="36">
        <f t="shared" si="8"/>
        <v>360</v>
      </c>
      <c r="L24" s="30"/>
      <c r="M24" s="60"/>
      <c r="N24" s="19"/>
      <c r="O24" s="70"/>
    </row>
    <row r="25" spans="1:17" ht="28.8" customHeight="1" x14ac:dyDescent="0.25">
      <c r="A25" s="69"/>
      <c r="B25" s="29" t="s">
        <v>151</v>
      </c>
      <c r="C25" s="95" t="s">
        <v>220</v>
      </c>
      <c r="D25" s="96">
        <v>360</v>
      </c>
      <c r="E25" s="16"/>
      <c r="F25" s="18"/>
      <c r="G25" s="16"/>
      <c r="H25" s="36"/>
      <c r="I25" s="36"/>
      <c r="J25" s="19">
        <v>1</v>
      </c>
      <c r="K25" s="36">
        <f t="shared" si="8"/>
        <v>360</v>
      </c>
      <c r="L25" s="30"/>
      <c r="M25" s="60"/>
      <c r="N25" s="19"/>
      <c r="O25" s="70"/>
    </row>
    <row r="26" spans="1:17" ht="28.8" customHeight="1" x14ac:dyDescent="0.25">
      <c r="A26" s="69"/>
      <c r="B26" s="29" t="s">
        <v>152</v>
      </c>
      <c r="C26" s="95" t="s">
        <v>220</v>
      </c>
      <c r="D26" s="96">
        <v>360</v>
      </c>
      <c r="E26" s="16"/>
      <c r="F26" s="18"/>
      <c r="G26" s="16"/>
      <c r="H26" s="36"/>
      <c r="I26" s="36"/>
      <c r="J26" s="19">
        <v>1</v>
      </c>
      <c r="K26" s="36">
        <f t="shared" si="8"/>
        <v>360</v>
      </c>
      <c r="L26" s="30"/>
      <c r="M26" s="60"/>
      <c r="N26" s="19"/>
      <c r="O26" s="70"/>
    </row>
    <row r="27" spans="1:17" ht="28.8" customHeight="1" x14ac:dyDescent="0.25">
      <c r="A27" s="69"/>
      <c r="B27" s="29" t="s">
        <v>153</v>
      </c>
      <c r="C27" s="95" t="s">
        <v>220</v>
      </c>
      <c r="D27" s="96">
        <v>360</v>
      </c>
      <c r="E27" s="16"/>
      <c r="F27" s="18"/>
      <c r="G27" s="16"/>
      <c r="H27" s="36"/>
      <c r="I27" s="36"/>
      <c r="J27" s="19">
        <v>1</v>
      </c>
      <c r="K27" s="36">
        <f t="shared" si="8"/>
        <v>360</v>
      </c>
      <c r="L27" s="30"/>
      <c r="M27" s="60"/>
      <c r="N27" s="19"/>
      <c r="O27" s="70"/>
    </row>
    <row r="28" spans="1:17" ht="28.8" customHeight="1" x14ac:dyDescent="0.25">
      <c r="A28" s="69"/>
      <c r="B28" s="29" t="s">
        <v>154</v>
      </c>
      <c r="C28" s="95" t="s">
        <v>220</v>
      </c>
      <c r="D28" s="96">
        <v>360</v>
      </c>
      <c r="E28" s="16"/>
      <c r="F28" s="18"/>
      <c r="G28" s="16"/>
      <c r="H28" s="36"/>
      <c r="I28" s="36"/>
      <c r="J28" s="19">
        <v>1</v>
      </c>
      <c r="K28" s="36">
        <f t="shared" si="8"/>
        <v>360</v>
      </c>
      <c r="L28" s="30"/>
      <c r="M28" s="60"/>
      <c r="N28" s="19"/>
      <c r="O28" s="70"/>
    </row>
    <row r="29" spans="1:17" ht="28.8" customHeight="1" x14ac:dyDescent="0.25">
      <c r="A29" s="69"/>
      <c r="B29" s="29" t="s">
        <v>49</v>
      </c>
      <c r="C29" s="29" t="s">
        <v>219</v>
      </c>
      <c r="D29" s="36">
        <v>2726.58</v>
      </c>
      <c r="E29" s="16">
        <v>4</v>
      </c>
      <c r="F29" s="18">
        <v>0.8</v>
      </c>
      <c r="G29" s="16">
        <f t="shared" si="1"/>
        <v>3.2</v>
      </c>
      <c r="H29" s="36">
        <f t="shared" si="2"/>
        <v>8725.0560000000005</v>
      </c>
      <c r="I29" s="36">
        <f t="shared" si="6"/>
        <v>14303.37049180328</v>
      </c>
      <c r="J29" s="19">
        <v>1</v>
      </c>
      <c r="K29" s="36">
        <f t="shared" si="3"/>
        <v>2726.58</v>
      </c>
      <c r="L29" s="30">
        <f t="shared" si="4"/>
        <v>1</v>
      </c>
      <c r="M29" s="60">
        <f t="shared" si="5"/>
        <v>87.250560000000007</v>
      </c>
      <c r="N29" s="19">
        <v>5</v>
      </c>
      <c r="O29" s="70">
        <v>20</v>
      </c>
    </row>
    <row r="30" spans="1:17" ht="28.8" customHeight="1" x14ac:dyDescent="0.25">
      <c r="A30" s="69"/>
      <c r="B30" s="29" t="s">
        <v>50</v>
      </c>
      <c r="C30" s="29" t="s">
        <v>222</v>
      </c>
      <c r="D30" s="36">
        <v>3180.4</v>
      </c>
      <c r="E30" s="16">
        <v>4</v>
      </c>
      <c r="F30" s="18">
        <v>0.9</v>
      </c>
      <c r="G30" s="16">
        <f t="shared" si="1"/>
        <v>3.6</v>
      </c>
      <c r="H30" s="36">
        <f t="shared" si="2"/>
        <v>11449.44</v>
      </c>
      <c r="I30" s="36">
        <f t="shared" si="6"/>
        <v>18769.573770491803</v>
      </c>
      <c r="J30" s="19">
        <v>1</v>
      </c>
      <c r="K30" s="36">
        <f t="shared" si="3"/>
        <v>3180.4</v>
      </c>
      <c r="L30" s="30">
        <f t="shared" si="4"/>
        <v>1</v>
      </c>
      <c r="M30" s="60">
        <f t="shared" si="5"/>
        <v>119.265</v>
      </c>
      <c r="N30" s="19">
        <v>4</v>
      </c>
      <c r="O30" s="70">
        <v>24</v>
      </c>
    </row>
    <row r="31" spans="1:17" x14ac:dyDescent="0.25">
      <c r="A31" s="71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76"/>
      <c r="M31" s="48"/>
      <c r="N31" s="48"/>
      <c r="O31" s="77"/>
    </row>
    <row r="32" spans="1:17" s="47" customFormat="1" ht="28.8" customHeight="1" x14ac:dyDescent="0.25">
      <c r="A32" s="72" t="s">
        <v>53</v>
      </c>
      <c r="B32" s="50" t="s">
        <v>55</v>
      </c>
      <c r="C32" s="57" t="s">
        <v>222</v>
      </c>
      <c r="D32" s="51">
        <v>11953.63</v>
      </c>
      <c r="E32" s="49">
        <v>4</v>
      </c>
      <c r="F32" s="52">
        <v>0.9</v>
      </c>
      <c r="G32" s="49">
        <f>E32*F32</f>
        <v>3.6</v>
      </c>
      <c r="H32" s="51">
        <f>D32*G32</f>
        <v>43033.067999999999</v>
      </c>
      <c r="I32" s="51">
        <f>H32/0.61</f>
        <v>70546.013114754096</v>
      </c>
      <c r="J32" s="53">
        <v>4</v>
      </c>
      <c r="K32" s="54">
        <f>D32/J32</f>
        <v>2988.4074999999998</v>
      </c>
      <c r="L32" s="53">
        <f>J32</f>
        <v>4</v>
      </c>
      <c r="M32" s="56">
        <f>(H32/L32)/(N32*O32)</f>
        <v>112.06528125</v>
      </c>
      <c r="N32" s="53">
        <v>4</v>
      </c>
      <c r="O32" s="73">
        <v>24</v>
      </c>
      <c r="Q32"/>
    </row>
    <row r="33" spans="1:17" x14ac:dyDescent="0.25">
      <c r="A33" s="71"/>
      <c r="B33" s="48"/>
      <c r="C33" s="58"/>
      <c r="D33" s="48"/>
      <c r="E33" s="48"/>
      <c r="F33" s="48"/>
      <c r="G33" s="48"/>
      <c r="H33" s="48"/>
      <c r="I33" s="48"/>
      <c r="J33" s="48"/>
      <c r="K33" s="48"/>
      <c r="L33" s="76"/>
      <c r="M33" s="48"/>
      <c r="N33" s="48"/>
      <c r="O33" s="77"/>
    </row>
    <row r="34" spans="1:17" s="47" customFormat="1" ht="28.8" customHeight="1" x14ac:dyDescent="0.25">
      <c r="A34" s="72" t="s">
        <v>54</v>
      </c>
      <c r="B34" s="50" t="s">
        <v>56</v>
      </c>
      <c r="C34" s="57" t="s">
        <v>222</v>
      </c>
      <c r="D34" s="51">
        <f>10232.28</f>
        <v>10232.280000000001</v>
      </c>
      <c r="E34" s="49">
        <v>4</v>
      </c>
      <c r="F34" s="52">
        <v>0.8</v>
      </c>
      <c r="G34" s="49">
        <f>E34*F34</f>
        <v>3.2</v>
      </c>
      <c r="H34" s="51">
        <f>D34*G34</f>
        <v>32743.296000000002</v>
      </c>
      <c r="I34" s="51">
        <f>H34/0.61</f>
        <v>53677.534426229511</v>
      </c>
      <c r="J34" s="53">
        <v>4</v>
      </c>
      <c r="K34" s="54">
        <f>D34/J34</f>
        <v>2558.0700000000002</v>
      </c>
      <c r="L34" s="53">
        <f>J34</f>
        <v>4</v>
      </c>
      <c r="M34" s="56">
        <f>(H34/L34)/(N34*O34)</f>
        <v>102.3228</v>
      </c>
      <c r="N34" s="53">
        <v>4</v>
      </c>
      <c r="O34" s="73">
        <v>20</v>
      </c>
      <c r="Q34"/>
    </row>
    <row r="35" spans="1:17" x14ac:dyDescent="0.25">
      <c r="A35" s="71"/>
      <c r="B35" s="48"/>
      <c r="C35" s="58"/>
      <c r="D35" s="48"/>
      <c r="E35" s="48"/>
      <c r="F35" s="48"/>
      <c r="G35" s="48"/>
      <c r="H35" s="48"/>
      <c r="I35" s="48"/>
      <c r="J35" s="48"/>
      <c r="K35" s="48"/>
      <c r="L35" s="76"/>
      <c r="M35" s="48"/>
      <c r="N35" s="48"/>
      <c r="O35" s="77"/>
    </row>
    <row r="36" spans="1:17" s="47" customFormat="1" ht="28.8" customHeight="1" x14ac:dyDescent="0.25">
      <c r="A36" s="72" t="s">
        <v>72</v>
      </c>
      <c r="B36" s="50" t="s">
        <v>37</v>
      </c>
      <c r="C36" s="57" t="s">
        <v>73</v>
      </c>
      <c r="D36" s="51">
        <f>(602-30)*30</f>
        <v>17160</v>
      </c>
      <c r="E36" s="49"/>
      <c r="F36" s="52">
        <f>(D36/(20598.71+D32+D34))</f>
        <v>0.40107870538525298</v>
      </c>
      <c r="G36" s="49"/>
      <c r="H36" s="51"/>
      <c r="I36" s="51"/>
      <c r="J36" s="53"/>
      <c r="K36" s="54"/>
      <c r="L36" s="53"/>
      <c r="M36" s="56"/>
      <c r="N36" s="53"/>
      <c r="O36" s="73"/>
      <c r="Q36"/>
    </row>
    <row r="37" spans="1:17" ht="28.8" customHeight="1" x14ac:dyDescent="0.25">
      <c r="A37" s="69"/>
      <c r="B37" s="29"/>
      <c r="C37" s="29" t="s">
        <v>226</v>
      </c>
      <c r="D37" s="36">
        <f>100*3+3000</f>
        <v>3300</v>
      </c>
      <c r="E37" s="16"/>
      <c r="F37" s="18">
        <f>(D37/(20598.71+D32+D34))</f>
        <v>7.7130520266394803E-2</v>
      </c>
      <c r="G37" s="16"/>
      <c r="H37" s="36"/>
      <c r="I37" s="36"/>
      <c r="J37" s="19"/>
      <c r="K37" s="36"/>
      <c r="L37" s="30"/>
      <c r="M37" s="60"/>
      <c r="N37" s="19"/>
      <c r="O37" s="70"/>
    </row>
    <row r="38" spans="1:17" ht="38.4" customHeight="1" x14ac:dyDescent="0.25">
      <c r="A38" s="69"/>
      <c r="B38" s="29"/>
      <c r="C38" s="29" t="s">
        <v>158</v>
      </c>
      <c r="D38" s="36">
        <f>D36-D37</f>
        <v>13860</v>
      </c>
      <c r="E38" s="16"/>
      <c r="F38" s="18"/>
      <c r="G38" s="16"/>
      <c r="H38" s="36"/>
      <c r="I38" s="36"/>
      <c r="J38" s="19"/>
      <c r="K38" s="36"/>
      <c r="L38" s="30"/>
      <c r="M38" s="60"/>
      <c r="N38" s="19"/>
      <c r="O38" s="70"/>
    </row>
    <row r="39" spans="1:17" ht="14.4" thickBot="1" x14ac:dyDescent="0.3">
      <c r="A39" s="74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9"/>
      <c r="M39" s="75"/>
      <c r="N39" s="75"/>
      <c r="O39" s="78"/>
    </row>
    <row r="40" spans="1:17" ht="15" thickTop="1" thickBot="1" x14ac:dyDescent="0.3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</row>
    <row r="41" spans="1:17" ht="19.2" customHeight="1" thickTop="1" x14ac:dyDescent="0.25">
      <c r="A41" s="334" t="s">
        <v>76</v>
      </c>
      <c r="B41" s="335"/>
      <c r="C41" s="335"/>
      <c r="D41" s="335"/>
      <c r="E41" s="335"/>
      <c r="F41" s="335"/>
      <c r="G41" s="335"/>
      <c r="H41" s="335"/>
      <c r="I41" s="335"/>
      <c r="J41" s="335"/>
      <c r="K41" s="335"/>
      <c r="L41" s="64"/>
      <c r="M41" s="65"/>
      <c r="N41" s="65"/>
      <c r="O41" s="66"/>
    </row>
    <row r="42" spans="1:17" s="47" customFormat="1" ht="28.8" customHeight="1" x14ac:dyDescent="0.25">
      <c r="A42" s="67" t="s">
        <v>43</v>
      </c>
      <c r="B42" s="41" t="s">
        <v>90</v>
      </c>
      <c r="C42" s="42"/>
      <c r="D42" s="43">
        <f>SUM(D43:D54)</f>
        <v>128940.25000000001</v>
      </c>
      <c r="E42" s="40"/>
      <c r="F42" s="44"/>
      <c r="G42" s="40"/>
      <c r="H42" s="43">
        <f>SUM(H43:H54)</f>
        <v>128940.25000000001</v>
      </c>
      <c r="I42" s="43">
        <f>SUM(I43:I54)</f>
        <v>0</v>
      </c>
      <c r="J42" s="45">
        <f>SUM(J43:J54)</f>
        <v>208</v>
      </c>
      <c r="K42" s="51">
        <f>H42/J42</f>
        <v>619.90504807692309</v>
      </c>
      <c r="L42" s="45"/>
      <c r="M42" s="56"/>
      <c r="N42" s="55"/>
      <c r="O42" s="68"/>
      <c r="Q42"/>
    </row>
    <row r="43" spans="1:17" ht="28.8" customHeight="1" x14ac:dyDescent="0.25">
      <c r="A43" s="69"/>
      <c r="B43" s="29" t="s">
        <v>77</v>
      </c>
      <c r="C43" s="29" t="s">
        <v>89</v>
      </c>
      <c r="D43" s="36">
        <v>3016.5200000000004</v>
      </c>
      <c r="E43" s="16"/>
      <c r="F43" s="18"/>
      <c r="G43" s="16"/>
      <c r="H43" s="36">
        <f>D43</f>
        <v>3016.5200000000004</v>
      </c>
      <c r="I43" s="36"/>
      <c r="J43" s="19">
        <v>5</v>
      </c>
      <c r="K43" s="36">
        <f t="shared" ref="K43:K54" si="9">D43/J43</f>
        <v>603.30400000000009</v>
      </c>
      <c r="L43" s="30"/>
      <c r="M43" s="60"/>
      <c r="N43" s="19"/>
      <c r="O43" s="70"/>
      <c r="Q43">
        <f>55*6</f>
        <v>330</v>
      </c>
    </row>
    <row r="44" spans="1:17" ht="28.8" customHeight="1" x14ac:dyDescent="0.25">
      <c r="A44" s="69"/>
      <c r="B44" s="29" t="s">
        <v>78</v>
      </c>
      <c r="C44" s="29" t="s">
        <v>89</v>
      </c>
      <c r="D44" s="36">
        <v>13591.310000000003</v>
      </c>
      <c r="E44" s="16"/>
      <c r="F44" s="18"/>
      <c r="G44" s="16"/>
      <c r="H44" s="36">
        <f t="shared" ref="H44:H54" si="10">D44</f>
        <v>13591.310000000003</v>
      </c>
      <c r="I44" s="36"/>
      <c r="J44" s="19">
        <v>22</v>
      </c>
      <c r="K44" s="36">
        <f t="shared" si="9"/>
        <v>617.78681818181838</v>
      </c>
      <c r="L44" s="30"/>
      <c r="M44" s="60"/>
      <c r="N44" s="19"/>
      <c r="O44" s="70"/>
    </row>
    <row r="45" spans="1:17" ht="28.8" customHeight="1" x14ac:dyDescent="0.25">
      <c r="A45" s="69"/>
      <c r="B45" s="29" t="s">
        <v>79</v>
      </c>
      <c r="C45" s="29" t="s">
        <v>89</v>
      </c>
      <c r="D45" s="36">
        <v>11309.04</v>
      </c>
      <c r="E45" s="16"/>
      <c r="F45" s="18"/>
      <c r="G45" s="16"/>
      <c r="H45" s="36">
        <f t="shared" si="10"/>
        <v>11309.04</v>
      </c>
      <c r="I45" s="36"/>
      <c r="J45" s="19">
        <v>18</v>
      </c>
      <c r="K45" s="36">
        <f t="shared" si="9"/>
        <v>628.28000000000009</v>
      </c>
      <c r="L45" s="30"/>
      <c r="M45" s="60"/>
      <c r="N45" s="19"/>
      <c r="O45" s="70"/>
    </row>
    <row r="46" spans="1:17" ht="28.8" customHeight="1" x14ac:dyDescent="0.25">
      <c r="A46" s="69"/>
      <c r="B46" s="29" t="s">
        <v>80</v>
      </c>
      <c r="C46" s="29" t="s">
        <v>89</v>
      </c>
      <c r="D46" s="36">
        <v>13413.039999999999</v>
      </c>
      <c r="E46" s="16"/>
      <c r="F46" s="18"/>
      <c r="G46" s="16"/>
      <c r="H46" s="36">
        <f t="shared" si="10"/>
        <v>13413.039999999999</v>
      </c>
      <c r="I46" s="36"/>
      <c r="J46" s="19">
        <v>20</v>
      </c>
      <c r="K46" s="36">
        <f t="shared" si="9"/>
        <v>670.65199999999993</v>
      </c>
      <c r="L46" s="30"/>
      <c r="M46" s="60"/>
      <c r="N46" s="19"/>
      <c r="O46" s="70"/>
    </row>
    <row r="47" spans="1:17" ht="28.8" customHeight="1" x14ac:dyDescent="0.25">
      <c r="A47" s="69"/>
      <c r="B47" s="29" t="s">
        <v>81</v>
      </c>
      <c r="C47" s="29" t="s">
        <v>89</v>
      </c>
      <c r="D47" s="36">
        <v>9773.57</v>
      </c>
      <c r="E47" s="16"/>
      <c r="F47" s="18"/>
      <c r="G47" s="16"/>
      <c r="H47" s="36">
        <f t="shared" si="10"/>
        <v>9773.57</v>
      </c>
      <c r="I47" s="36"/>
      <c r="J47" s="19">
        <v>17</v>
      </c>
      <c r="K47" s="36">
        <f t="shared" si="9"/>
        <v>574.91588235294114</v>
      </c>
      <c r="L47" s="30"/>
      <c r="M47" s="60"/>
      <c r="N47" s="19"/>
      <c r="O47" s="70"/>
    </row>
    <row r="48" spans="1:17" ht="28.8" customHeight="1" x14ac:dyDescent="0.25">
      <c r="A48" s="69"/>
      <c r="B48" s="29" t="s">
        <v>82</v>
      </c>
      <c r="C48" s="29" t="s">
        <v>89</v>
      </c>
      <c r="D48" s="36">
        <v>4375.6900000000005</v>
      </c>
      <c r="E48" s="16"/>
      <c r="F48" s="18"/>
      <c r="G48" s="16"/>
      <c r="H48" s="36">
        <f t="shared" si="10"/>
        <v>4375.6900000000005</v>
      </c>
      <c r="I48" s="36"/>
      <c r="J48" s="19">
        <v>7</v>
      </c>
      <c r="K48" s="36">
        <f t="shared" si="9"/>
        <v>625.09857142857152</v>
      </c>
      <c r="L48" s="30"/>
      <c r="M48" s="60"/>
      <c r="N48" s="19"/>
      <c r="O48" s="70"/>
    </row>
    <row r="49" spans="1:21" ht="28.8" customHeight="1" x14ac:dyDescent="0.25">
      <c r="A49" s="69"/>
      <c r="B49" s="29" t="s">
        <v>83</v>
      </c>
      <c r="C49" s="29" t="s">
        <v>89</v>
      </c>
      <c r="D49" s="36">
        <v>8179.16</v>
      </c>
      <c r="E49" s="16"/>
      <c r="F49" s="18"/>
      <c r="G49" s="16"/>
      <c r="H49" s="36">
        <f t="shared" si="10"/>
        <v>8179.16</v>
      </c>
      <c r="I49" s="36"/>
      <c r="J49" s="19">
        <v>12</v>
      </c>
      <c r="K49" s="36">
        <f t="shared" si="9"/>
        <v>681.59666666666669</v>
      </c>
      <c r="L49" s="30"/>
      <c r="M49" s="60"/>
      <c r="N49" s="19"/>
      <c r="O49" s="70"/>
    </row>
    <row r="50" spans="1:21" ht="28.8" customHeight="1" x14ac:dyDescent="0.25">
      <c r="A50" s="69"/>
      <c r="B50" s="29" t="s">
        <v>84</v>
      </c>
      <c r="C50" s="29" t="s">
        <v>89</v>
      </c>
      <c r="D50" s="36">
        <v>13461.880000000008</v>
      </c>
      <c r="E50" s="16"/>
      <c r="F50" s="18"/>
      <c r="G50" s="16"/>
      <c r="H50" s="36">
        <f t="shared" si="10"/>
        <v>13461.880000000008</v>
      </c>
      <c r="I50" s="36"/>
      <c r="J50" s="19">
        <v>23</v>
      </c>
      <c r="K50" s="36">
        <f t="shared" si="9"/>
        <v>585.29913043478302</v>
      </c>
      <c r="L50" s="30"/>
      <c r="M50" s="60"/>
      <c r="N50" s="19"/>
      <c r="O50" s="70"/>
    </row>
    <row r="51" spans="1:21" ht="28.8" customHeight="1" x14ac:dyDescent="0.25">
      <c r="A51" s="69"/>
      <c r="B51" s="29" t="s">
        <v>85</v>
      </c>
      <c r="C51" s="29" t="s">
        <v>89</v>
      </c>
      <c r="D51" s="36">
        <v>19718.740000000002</v>
      </c>
      <c r="E51" s="16"/>
      <c r="F51" s="18"/>
      <c r="G51" s="16"/>
      <c r="H51" s="36">
        <f t="shared" si="10"/>
        <v>19718.740000000002</v>
      </c>
      <c r="I51" s="36"/>
      <c r="J51" s="19">
        <v>35</v>
      </c>
      <c r="K51" s="36">
        <f t="shared" si="9"/>
        <v>563.3925714285715</v>
      </c>
      <c r="L51" s="30"/>
      <c r="M51" s="60"/>
      <c r="N51" s="19"/>
      <c r="O51" s="70"/>
    </row>
    <row r="52" spans="1:21" ht="28.8" customHeight="1" x14ac:dyDescent="0.25">
      <c r="A52" s="69"/>
      <c r="B52" s="29" t="s">
        <v>86</v>
      </c>
      <c r="C52" s="29" t="s">
        <v>89</v>
      </c>
      <c r="D52" s="36">
        <v>10936.27</v>
      </c>
      <c r="E52" s="16"/>
      <c r="F52" s="18"/>
      <c r="G52" s="16"/>
      <c r="H52" s="36">
        <f t="shared" si="10"/>
        <v>10936.27</v>
      </c>
      <c r="I52" s="36"/>
      <c r="J52" s="19">
        <v>17</v>
      </c>
      <c r="K52" s="36">
        <f t="shared" si="9"/>
        <v>643.31000000000006</v>
      </c>
      <c r="L52" s="30"/>
      <c r="M52" s="60"/>
      <c r="N52" s="19"/>
      <c r="O52" s="70"/>
    </row>
    <row r="53" spans="1:21" ht="28.8" customHeight="1" x14ac:dyDescent="0.25">
      <c r="A53" s="69"/>
      <c r="B53" s="29" t="s">
        <v>87</v>
      </c>
      <c r="C53" s="29" t="s">
        <v>89</v>
      </c>
      <c r="D53" s="36">
        <v>16339.54</v>
      </c>
      <c r="E53" s="16"/>
      <c r="F53" s="18"/>
      <c r="G53" s="16"/>
      <c r="H53" s="36">
        <f t="shared" si="10"/>
        <v>16339.54</v>
      </c>
      <c r="I53" s="36"/>
      <c r="J53" s="19">
        <v>25</v>
      </c>
      <c r="K53" s="36">
        <f t="shared" si="9"/>
        <v>653.58159999999998</v>
      </c>
      <c r="L53" s="30"/>
      <c r="M53" s="60"/>
      <c r="N53" s="19"/>
      <c r="O53" s="70"/>
    </row>
    <row r="54" spans="1:21" ht="28.8" customHeight="1" x14ac:dyDescent="0.25">
      <c r="A54" s="69"/>
      <c r="B54" s="29" t="s">
        <v>88</v>
      </c>
      <c r="C54" s="29" t="s">
        <v>89</v>
      </c>
      <c r="D54" s="36">
        <v>4825.49</v>
      </c>
      <c r="E54" s="16"/>
      <c r="F54" s="18"/>
      <c r="G54" s="16"/>
      <c r="H54" s="36">
        <f t="shared" si="10"/>
        <v>4825.49</v>
      </c>
      <c r="I54" s="36"/>
      <c r="J54" s="19">
        <v>7</v>
      </c>
      <c r="K54" s="36">
        <f t="shared" si="9"/>
        <v>689.35571428571427</v>
      </c>
      <c r="L54" s="30"/>
      <c r="M54" s="60"/>
      <c r="N54" s="19"/>
      <c r="O54" s="70"/>
    </row>
    <row r="55" spans="1:21" ht="14.4" thickBot="1" x14ac:dyDescent="0.3">
      <c r="A55" s="74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9"/>
      <c r="M55" s="75"/>
      <c r="N55" s="75"/>
      <c r="O55" s="78"/>
      <c r="S55" s="11"/>
    </row>
    <row r="56" spans="1:21" ht="15" thickTop="1" thickBot="1" x14ac:dyDescent="0.3">
      <c r="A56" s="35"/>
      <c r="B56" s="35"/>
      <c r="C56" s="35"/>
      <c r="D56" s="35"/>
      <c r="E56" s="35"/>
      <c r="F56" s="35"/>
      <c r="G56" s="35"/>
      <c r="H56" s="61"/>
      <c r="I56" s="35"/>
      <c r="J56" s="35"/>
      <c r="K56" s="35"/>
      <c r="L56" s="35"/>
      <c r="M56" s="35"/>
      <c r="N56" s="35"/>
      <c r="O56" s="35"/>
      <c r="S56" s="11"/>
      <c r="U56" s="11"/>
    </row>
    <row r="57" spans="1:21" ht="19.2" customHeight="1" thickTop="1" x14ac:dyDescent="0.25">
      <c r="A57" s="334" t="s">
        <v>41</v>
      </c>
      <c r="B57" s="335"/>
      <c r="C57" s="335"/>
      <c r="D57" s="335"/>
      <c r="E57" s="335"/>
      <c r="F57" s="335"/>
      <c r="G57" s="335"/>
      <c r="H57" s="335"/>
      <c r="I57" s="335"/>
      <c r="J57" s="335"/>
      <c r="K57" s="335"/>
      <c r="L57" s="64">
        <f>SUM(L58,L67,L69)</f>
        <v>13</v>
      </c>
      <c r="M57" s="65"/>
      <c r="N57" s="65"/>
      <c r="O57" s="66"/>
      <c r="U57" s="11"/>
    </row>
    <row r="58" spans="1:21" s="47" customFormat="1" ht="28.8" customHeight="1" x14ac:dyDescent="0.25">
      <c r="A58" s="67" t="s">
        <v>43</v>
      </c>
      <c r="B58" s="41" t="s">
        <v>91</v>
      </c>
      <c r="C58" s="57" t="s">
        <v>156</v>
      </c>
      <c r="D58" s="43">
        <v>12062.7377</v>
      </c>
      <c r="E58" s="49">
        <v>4</v>
      </c>
      <c r="F58" s="52">
        <v>0.9</v>
      </c>
      <c r="G58" s="49">
        <f>E58*F58</f>
        <v>3.6</v>
      </c>
      <c r="H58" s="51">
        <f>D58*G58</f>
        <v>43425.85572</v>
      </c>
      <c r="I58" s="51">
        <f>H58/0.61</f>
        <v>71189.927409836062</v>
      </c>
      <c r="J58" s="53">
        <v>4</v>
      </c>
      <c r="K58" s="54">
        <f>D58/J58</f>
        <v>3015.6844249999999</v>
      </c>
      <c r="L58" s="53">
        <f>J58</f>
        <v>4</v>
      </c>
      <c r="M58" s="56">
        <f>(H58/L58)/(N58*O58)</f>
        <v>104.38907625</v>
      </c>
      <c r="N58" s="53">
        <v>4</v>
      </c>
      <c r="O58" s="73">
        <v>26</v>
      </c>
      <c r="Q58"/>
    </row>
    <row r="59" spans="1:21" x14ac:dyDescent="0.25">
      <c r="A59" s="71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76"/>
      <c r="M59" s="48"/>
      <c r="N59" s="48"/>
      <c r="O59" s="77"/>
    </row>
    <row r="60" spans="1:21" s="47" customFormat="1" ht="28.8" customHeight="1" x14ac:dyDescent="0.25">
      <c r="A60" s="72" t="s">
        <v>53</v>
      </c>
      <c r="B60" s="50" t="s">
        <v>92</v>
      </c>
      <c r="C60" s="57" t="s">
        <v>17</v>
      </c>
      <c r="D60" s="51">
        <v>8925.08</v>
      </c>
      <c r="E60" s="49">
        <v>4</v>
      </c>
      <c r="F60" s="52">
        <v>0.2</v>
      </c>
      <c r="G60" s="49">
        <f>E60*F60</f>
        <v>0.8</v>
      </c>
      <c r="H60" s="51">
        <f>D60*G60</f>
        <v>7140.0640000000003</v>
      </c>
      <c r="I60" s="51">
        <f>H60/0.8</f>
        <v>8925.08</v>
      </c>
      <c r="J60" s="53">
        <v>1</v>
      </c>
      <c r="K60" s="54">
        <f>D60/J60</f>
        <v>8925.08</v>
      </c>
      <c r="L60" s="53">
        <f>J60</f>
        <v>1</v>
      </c>
      <c r="M60" s="51">
        <f>(H60/L60)/(N60*O60)</f>
        <v>2380.0213333333336</v>
      </c>
      <c r="N60" s="53">
        <v>1</v>
      </c>
      <c r="O60" s="73">
        <v>3</v>
      </c>
      <c r="Q60" t="s">
        <v>159</v>
      </c>
    </row>
    <row r="61" spans="1:21" x14ac:dyDescent="0.25">
      <c r="A61" s="71"/>
      <c r="B61" s="48"/>
      <c r="C61" s="58"/>
      <c r="D61" s="48"/>
      <c r="E61" s="48"/>
      <c r="F61" s="48"/>
      <c r="G61" s="48"/>
      <c r="H61" s="48"/>
      <c r="I61" s="48"/>
      <c r="J61" s="48"/>
      <c r="K61" s="48"/>
      <c r="L61" s="76"/>
      <c r="M61" s="48"/>
      <c r="N61" s="48"/>
      <c r="O61" s="77"/>
    </row>
    <row r="62" spans="1:21" s="47" customFormat="1" ht="28.8" customHeight="1" x14ac:dyDescent="0.25">
      <c r="A62" s="72" t="s">
        <v>54</v>
      </c>
      <c r="B62" s="50" t="s">
        <v>99</v>
      </c>
      <c r="C62" s="57"/>
      <c r="D62" s="51">
        <v>15349.12</v>
      </c>
      <c r="E62" s="49">
        <v>4</v>
      </c>
      <c r="F62" s="52">
        <v>0.9</v>
      </c>
      <c r="G62" s="49">
        <f>E62*F62</f>
        <v>3.6</v>
      </c>
      <c r="H62" s="51">
        <f>D62*G62</f>
        <v>55256.832000000002</v>
      </c>
      <c r="I62" s="51">
        <f>E62*H62</f>
        <v>221027.32800000001</v>
      </c>
      <c r="J62" s="53">
        <v>4</v>
      </c>
      <c r="K62" s="54">
        <f>D62/J62</f>
        <v>3837.28</v>
      </c>
      <c r="L62" s="53">
        <f>J62</f>
        <v>4</v>
      </c>
      <c r="M62" s="51">
        <f>(H62/L62)/(N62*O62)</f>
        <v>164.45485714285715</v>
      </c>
      <c r="N62" s="53">
        <v>4</v>
      </c>
      <c r="O62" s="73">
        <v>21</v>
      </c>
      <c r="Q62"/>
    </row>
    <row r="63" spans="1:21" ht="21.6" customHeight="1" x14ac:dyDescent="0.25">
      <c r="A63" s="80"/>
      <c r="B63" s="81"/>
      <c r="C63" s="29" t="s">
        <v>93</v>
      </c>
      <c r="D63" s="36">
        <v>3514.04</v>
      </c>
      <c r="E63" s="81">
        <v>4</v>
      </c>
      <c r="F63" s="18">
        <f>1909.47/3514.04/4</f>
        <v>0.13584577864793798</v>
      </c>
      <c r="G63" s="84">
        <f t="shared" ref="G63:G65" si="11">E63*F63</f>
        <v>0.54338311459175193</v>
      </c>
      <c r="H63" s="36">
        <f>D63*G63</f>
        <v>1909.47</v>
      </c>
      <c r="I63" s="36">
        <f>H63</f>
        <v>1909.47</v>
      </c>
      <c r="J63" s="81"/>
      <c r="K63" s="81"/>
      <c r="L63" s="82">
        <v>1</v>
      </c>
      <c r="M63" s="81"/>
      <c r="N63" s="81"/>
      <c r="O63" s="83"/>
      <c r="Q63" t="s">
        <v>97</v>
      </c>
    </row>
    <row r="64" spans="1:21" ht="21.6" customHeight="1" x14ac:dyDescent="0.25">
      <c r="A64" s="85"/>
      <c r="B64" s="86"/>
      <c r="C64" s="29" t="s">
        <v>95</v>
      </c>
      <c r="D64" s="36">
        <v>3607.11</v>
      </c>
      <c r="E64" s="86">
        <v>4</v>
      </c>
      <c r="F64" s="18">
        <f>1710.59/3607.11/4</f>
        <v>0.11855682249778908</v>
      </c>
      <c r="G64" s="84">
        <f t="shared" si="11"/>
        <v>0.47422728999115632</v>
      </c>
      <c r="H64" s="36">
        <f>D64*G64</f>
        <v>1710.59</v>
      </c>
      <c r="I64" s="36">
        <f>H64</f>
        <v>1710.59</v>
      </c>
      <c r="J64" s="86"/>
      <c r="K64" s="86"/>
      <c r="L64" s="87">
        <v>1</v>
      </c>
      <c r="M64" s="86"/>
      <c r="N64" s="86"/>
      <c r="O64" s="88"/>
      <c r="Q64" t="s">
        <v>98</v>
      </c>
    </row>
    <row r="65" spans="1:17" ht="21.6" customHeight="1" x14ac:dyDescent="0.25">
      <c r="A65" s="71"/>
      <c r="B65" s="48"/>
      <c r="C65" s="29" t="s">
        <v>94</v>
      </c>
      <c r="D65" s="36">
        <f>D62-D63-D64</f>
        <v>8227.9700000000012</v>
      </c>
      <c r="E65" s="16">
        <v>4</v>
      </c>
      <c r="F65" s="18">
        <v>0.55000000000000004</v>
      </c>
      <c r="G65" s="16">
        <f t="shared" si="11"/>
        <v>2.2000000000000002</v>
      </c>
      <c r="H65" s="36">
        <f t="shared" ref="H65" si="12">D65*G65</f>
        <v>18101.534000000003</v>
      </c>
      <c r="I65" s="36">
        <f t="shared" ref="I65" si="13">H65/0.61</f>
        <v>29674.645901639349</v>
      </c>
      <c r="J65" s="19">
        <v>2</v>
      </c>
      <c r="K65" s="36">
        <f t="shared" ref="K65" si="14">D65/J65</f>
        <v>4113.9850000000006</v>
      </c>
      <c r="L65" s="30">
        <f t="shared" ref="L65" si="15">J65</f>
        <v>2</v>
      </c>
      <c r="M65" s="60">
        <f>H65/(N65*O65)</f>
        <v>952.71231578947391</v>
      </c>
      <c r="N65" s="19">
        <v>1</v>
      </c>
      <c r="O65" s="70">
        <v>19</v>
      </c>
      <c r="Q65" t="s">
        <v>96</v>
      </c>
    </row>
    <row r="66" spans="1:17" x14ac:dyDescent="0.25">
      <c r="A66" s="71"/>
      <c r="B66" s="48"/>
      <c r="C66" s="58"/>
      <c r="D66" s="48"/>
      <c r="E66" s="48"/>
      <c r="F66" s="48"/>
      <c r="G66" s="91"/>
      <c r="H66" s="90"/>
      <c r="I66" s="48"/>
      <c r="J66" s="48"/>
      <c r="K66" s="48"/>
      <c r="L66" s="76"/>
      <c r="M66" s="48"/>
      <c r="N66" s="48"/>
      <c r="O66" s="77"/>
    </row>
    <row r="67" spans="1:17" s="47" customFormat="1" ht="28.8" customHeight="1" x14ac:dyDescent="0.25">
      <c r="A67" s="72" t="s">
        <v>72</v>
      </c>
      <c r="B67" s="50" t="s">
        <v>100</v>
      </c>
      <c r="C67" s="57" t="s">
        <v>32</v>
      </c>
      <c r="D67" s="51">
        <v>11944.37</v>
      </c>
      <c r="E67" s="49">
        <v>4</v>
      </c>
      <c r="F67" s="52">
        <v>0.9</v>
      </c>
      <c r="G67" s="49">
        <f>E67*F67</f>
        <v>3.6</v>
      </c>
      <c r="H67" s="51">
        <f>D67*G67</f>
        <v>42999.732000000004</v>
      </c>
      <c r="I67" s="51">
        <f>H67/0.61</f>
        <v>70491.363934426234</v>
      </c>
      <c r="J67" s="53">
        <v>4</v>
      </c>
      <c r="K67" s="54">
        <f>D67/J67</f>
        <v>2986.0925000000002</v>
      </c>
      <c r="L67" s="53">
        <f>J67</f>
        <v>4</v>
      </c>
      <c r="M67" s="56">
        <f>(H67/L67)/(N67*O67)</f>
        <v>223.95693750000001</v>
      </c>
      <c r="N67" s="53">
        <v>2</v>
      </c>
      <c r="O67" s="73">
        <v>24</v>
      </c>
      <c r="Q67"/>
    </row>
    <row r="68" spans="1:17" x14ac:dyDescent="0.25">
      <c r="A68" s="69"/>
      <c r="B68" s="29"/>
      <c r="C68" s="29"/>
      <c r="D68" s="36"/>
      <c r="E68" s="16"/>
      <c r="F68" s="18"/>
      <c r="G68" s="16"/>
      <c r="H68" s="36"/>
      <c r="I68" s="36"/>
      <c r="J68" s="19"/>
      <c r="K68" s="36"/>
      <c r="L68" s="30"/>
      <c r="M68" s="60"/>
      <c r="N68" s="19"/>
      <c r="O68" s="70"/>
    </row>
    <row r="69" spans="1:17" s="47" customFormat="1" ht="28.8" customHeight="1" x14ac:dyDescent="0.25">
      <c r="A69" s="72" t="s">
        <v>72</v>
      </c>
      <c r="B69" s="50" t="s">
        <v>101</v>
      </c>
      <c r="C69" s="57" t="s">
        <v>32</v>
      </c>
      <c r="D69" s="51">
        <v>16481.909199999998</v>
      </c>
      <c r="E69" s="49">
        <v>4</v>
      </c>
      <c r="F69" s="52">
        <v>0.9</v>
      </c>
      <c r="G69" s="49">
        <f>E69*F69</f>
        <v>3.6</v>
      </c>
      <c r="H69" s="51">
        <f>D69*G69</f>
        <v>59334.873119999997</v>
      </c>
      <c r="I69" s="51">
        <f>H69/0.61</f>
        <v>97270.283803278682</v>
      </c>
      <c r="J69" s="53">
        <v>5</v>
      </c>
      <c r="K69" s="54">
        <f>D69/J69</f>
        <v>3296.3818399999996</v>
      </c>
      <c r="L69" s="53">
        <f>J69</f>
        <v>5</v>
      </c>
      <c r="M69" s="56">
        <f>(H69/L69)/(N69*O69)</f>
        <v>164.81909199999998</v>
      </c>
      <c r="N69" s="53">
        <v>3</v>
      </c>
      <c r="O69" s="73">
        <v>24</v>
      </c>
      <c r="Q69"/>
    </row>
    <row r="70" spans="1:17" ht="14.4" thickBot="1" x14ac:dyDescent="0.3">
      <c r="A70" s="74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9"/>
      <c r="M70" s="75"/>
      <c r="N70" s="75"/>
      <c r="O70" s="78"/>
    </row>
    <row r="71" spans="1:17" ht="15" thickTop="1" thickBot="1" x14ac:dyDescent="0.3">
      <c r="A71" s="35"/>
      <c r="B71" s="35"/>
      <c r="C71" s="35"/>
      <c r="D71" s="35"/>
      <c r="E71" s="35"/>
      <c r="F71" s="35"/>
      <c r="G71" s="35"/>
      <c r="H71" s="61"/>
      <c r="I71" s="35"/>
      <c r="J71" s="35"/>
      <c r="K71" s="35"/>
      <c r="L71" s="35"/>
      <c r="M71" s="35"/>
      <c r="N71" s="35"/>
      <c r="O71" s="35"/>
    </row>
    <row r="72" spans="1:17" ht="19.2" customHeight="1" thickTop="1" x14ac:dyDescent="0.25">
      <c r="A72" s="334" t="s">
        <v>134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64"/>
      <c r="M72" s="65"/>
      <c r="N72" s="65"/>
      <c r="O72" s="66"/>
    </row>
    <row r="73" spans="1:17" s="47" customFormat="1" ht="28.8" customHeight="1" x14ac:dyDescent="0.25">
      <c r="A73" s="67" t="s">
        <v>43</v>
      </c>
      <c r="B73" s="41" t="s">
        <v>135</v>
      </c>
      <c r="C73" s="42"/>
      <c r="D73" s="43">
        <v>156094.41250000001</v>
      </c>
      <c r="E73" s="40"/>
      <c r="F73" s="44"/>
      <c r="G73" s="40"/>
      <c r="H73" s="43">
        <f>D73*0.55</f>
        <v>85851.926875000005</v>
      </c>
      <c r="I73" s="43"/>
      <c r="J73" s="45">
        <v>180</v>
      </c>
      <c r="K73" s="51">
        <f>H73/J73</f>
        <v>476.95514930555561</v>
      </c>
      <c r="L73" s="45"/>
      <c r="M73" s="56"/>
      <c r="N73" s="55"/>
      <c r="O73" s="68"/>
      <c r="Q73"/>
    </row>
    <row r="74" spans="1:17" ht="14.4" thickBot="1" x14ac:dyDescent="0.3">
      <c r="A74" s="74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9"/>
      <c r="M74" s="75"/>
      <c r="N74" s="75"/>
      <c r="O74" s="78"/>
    </row>
    <row r="75" spans="1:17" ht="15" thickTop="1" thickBot="1" x14ac:dyDescent="0.3">
      <c r="A75" s="35"/>
      <c r="B75" s="35"/>
      <c r="C75" s="35"/>
      <c r="D75" s="35"/>
      <c r="E75" s="35"/>
      <c r="F75" s="35"/>
      <c r="G75" s="35"/>
      <c r="H75" s="61"/>
      <c r="I75" s="35"/>
      <c r="J75" s="35"/>
      <c r="K75" s="35"/>
      <c r="L75" s="35"/>
      <c r="M75" s="35"/>
      <c r="N75" s="35"/>
      <c r="O75" s="35"/>
    </row>
    <row r="76" spans="1:17" ht="19.2" customHeight="1" thickTop="1" x14ac:dyDescent="0.25">
      <c r="A76" s="334" t="s">
        <v>18</v>
      </c>
      <c r="B76" s="335"/>
      <c r="C76" s="335"/>
      <c r="D76" s="335"/>
      <c r="E76" s="335"/>
      <c r="F76" s="335"/>
      <c r="G76" s="335"/>
      <c r="H76" s="335"/>
      <c r="I76" s="335"/>
      <c r="J76" s="335"/>
      <c r="K76" s="335"/>
      <c r="L76" s="64">
        <f>SUM(L77,L79,L85,L87,L89,L91,L93,L95,L97)</f>
        <v>48</v>
      </c>
      <c r="M76" s="65"/>
      <c r="N76" s="65"/>
      <c r="O76" s="66"/>
    </row>
    <row r="77" spans="1:17" s="47" customFormat="1" ht="28.8" customHeight="1" x14ac:dyDescent="0.25">
      <c r="A77" s="67" t="s">
        <v>43</v>
      </c>
      <c r="B77" s="41" t="s">
        <v>102</v>
      </c>
      <c r="C77" s="57" t="s">
        <v>32</v>
      </c>
      <c r="D77" s="43">
        <v>19082.03</v>
      </c>
      <c r="E77" s="49">
        <v>4</v>
      </c>
      <c r="F77" s="52">
        <v>0.8</v>
      </c>
      <c r="G77" s="49">
        <f>E77*F77</f>
        <v>3.2</v>
      </c>
      <c r="H77" s="51">
        <f>D77*G77</f>
        <v>61062.495999999999</v>
      </c>
      <c r="I77" s="51">
        <f>H77/0.61</f>
        <v>100102.45245901639</v>
      </c>
      <c r="J77" s="53">
        <v>8</v>
      </c>
      <c r="K77" s="54">
        <f>D77/J77</f>
        <v>2385.2537499999999</v>
      </c>
      <c r="L77" s="53">
        <f>J77</f>
        <v>8</v>
      </c>
      <c r="M77" s="56">
        <f>(H77/L77)/(N77*O77)</f>
        <v>63.606766666666665</v>
      </c>
      <c r="N77" s="53">
        <v>6</v>
      </c>
      <c r="O77" s="73">
        <v>20</v>
      </c>
      <c r="Q77"/>
    </row>
    <row r="78" spans="1:17" x14ac:dyDescent="0.25">
      <c r="A78" s="71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76"/>
      <c r="M78" s="48"/>
      <c r="N78" s="48"/>
      <c r="O78" s="77"/>
    </row>
    <row r="79" spans="1:17" s="47" customFormat="1" ht="28.8" customHeight="1" x14ac:dyDescent="0.25">
      <c r="A79" s="72" t="s">
        <v>53</v>
      </c>
      <c r="B79" s="50" t="s">
        <v>103</v>
      </c>
      <c r="C79" s="57" t="s">
        <v>32</v>
      </c>
      <c r="D79" s="51">
        <v>18711.189600000002</v>
      </c>
      <c r="E79" s="49">
        <v>3.5</v>
      </c>
      <c r="F79" s="52">
        <v>0.85</v>
      </c>
      <c r="G79" s="49">
        <f>E79*F79</f>
        <v>2.9750000000000001</v>
      </c>
      <c r="H79" s="51">
        <f>D79*G79</f>
        <v>55665.789060000003</v>
      </c>
      <c r="I79" s="51">
        <f>H79/0.61</f>
        <v>91255.391901639348</v>
      </c>
      <c r="J79" s="53">
        <v>7</v>
      </c>
      <c r="K79" s="54">
        <f>D79/J79</f>
        <v>2673.0270857142859</v>
      </c>
      <c r="L79" s="53">
        <f>J79</f>
        <v>7</v>
      </c>
      <c r="M79" s="56">
        <f>(H79/L79)/(N79*O79)</f>
        <v>66.268796499999993</v>
      </c>
      <c r="N79" s="53">
        <v>6</v>
      </c>
      <c r="O79" s="73">
        <v>20</v>
      </c>
      <c r="Q79" t="s">
        <v>159</v>
      </c>
    </row>
    <row r="80" spans="1:17" x14ac:dyDescent="0.25">
      <c r="A80" s="71"/>
      <c r="B80" s="48"/>
      <c r="C80" s="58"/>
      <c r="D80" s="48"/>
      <c r="E80" s="48"/>
      <c r="F80" s="48"/>
      <c r="G80" s="48"/>
      <c r="H80" s="48"/>
      <c r="I80" s="48"/>
      <c r="J80" s="48"/>
      <c r="K80" s="48"/>
      <c r="L80" s="76"/>
      <c r="M80" s="48"/>
      <c r="N80" s="48"/>
      <c r="O80" s="77"/>
    </row>
    <row r="81" spans="1:17" s="47" customFormat="1" ht="28.8" customHeight="1" x14ac:dyDescent="0.25">
      <c r="A81" s="72" t="s">
        <v>54</v>
      </c>
      <c r="B81" s="50" t="s">
        <v>104</v>
      </c>
      <c r="C81" s="57" t="s">
        <v>34</v>
      </c>
      <c r="D81" s="51">
        <v>8934.8408999999992</v>
      </c>
      <c r="E81" s="49"/>
      <c r="F81" s="52"/>
      <c r="G81" s="49"/>
      <c r="H81" s="51"/>
      <c r="I81" s="51"/>
      <c r="J81" s="53"/>
      <c r="K81" s="54"/>
      <c r="L81" s="53"/>
      <c r="M81" s="56"/>
      <c r="N81" s="53"/>
      <c r="O81" s="73"/>
      <c r="Q81"/>
    </row>
    <row r="82" spans="1:17" x14ac:dyDescent="0.25">
      <c r="A82" s="71"/>
      <c r="B82" s="48"/>
      <c r="C82" s="58"/>
      <c r="D82" s="48"/>
      <c r="E82" s="48"/>
      <c r="F82" s="48"/>
      <c r="G82" s="91"/>
      <c r="H82" s="90"/>
      <c r="I82" s="48"/>
      <c r="J82" s="48"/>
      <c r="K82" s="48"/>
      <c r="L82" s="76"/>
      <c r="M82" s="48"/>
      <c r="N82" s="48"/>
      <c r="O82" s="77"/>
    </row>
    <row r="83" spans="1:17" s="47" customFormat="1" ht="28.8" customHeight="1" x14ac:dyDescent="0.25">
      <c r="A83" s="72" t="s">
        <v>72</v>
      </c>
      <c r="B83" s="50" t="s">
        <v>113</v>
      </c>
      <c r="C83" s="57" t="s">
        <v>17</v>
      </c>
      <c r="D83" s="51">
        <v>12409.3012</v>
      </c>
      <c r="E83" s="49">
        <v>4</v>
      </c>
      <c r="F83" s="52">
        <v>0.2</v>
      </c>
      <c r="G83" s="49">
        <f>E83*F83</f>
        <v>0.8</v>
      </c>
      <c r="H83" s="51">
        <f>D83*G83</f>
        <v>9927.4409599999999</v>
      </c>
      <c r="I83" s="51">
        <f>H83/0.61</f>
        <v>16274.493377049181</v>
      </c>
      <c r="J83" s="53">
        <v>1</v>
      </c>
      <c r="K83" s="54">
        <f>D83/J83</f>
        <v>12409.3012</v>
      </c>
      <c r="L83" s="53">
        <f>J83</f>
        <v>1</v>
      </c>
      <c r="M83" s="51">
        <f>(H83/L83)/(N83*O83)</f>
        <v>3309.1469866666666</v>
      </c>
      <c r="N83" s="53">
        <v>1</v>
      </c>
      <c r="O83" s="73">
        <v>3</v>
      </c>
      <c r="Q83"/>
    </row>
    <row r="84" spans="1:17" x14ac:dyDescent="0.25">
      <c r="A84" s="69"/>
      <c r="B84" s="29"/>
      <c r="C84" s="29"/>
      <c r="D84" s="36"/>
      <c r="E84" s="16"/>
      <c r="F84" s="18"/>
      <c r="G84" s="16"/>
      <c r="H84" s="36"/>
      <c r="I84" s="36"/>
      <c r="J84" s="19"/>
      <c r="K84" s="36"/>
      <c r="L84" s="30"/>
      <c r="M84" s="60"/>
      <c r="N84" s="19"/>
      <c r="O84" s="70"/>
    </row>
    <row r="85" spans="1:17" s="47" customFormat="1" ht="28.8" customHeight="1" x14ac:dyDescent="0.25">
      <c r="A85" s="72" t="s">
        <v>105</v>
      </c>
      <c r="B85" s="50" t="s">
        <v>114</v>
      </c>
      <c r="C85" s="57" t="s">
        <v>32</v>
      </c>
      <c r="D85" s="51">
        <v>11314.618</v>
      </c>
      <c r="E85" s="49">
        <v>4</v>
      </c>
      <c r="F85" s="52">
        <v>0.9</v>
      </c>
      <c r="G85" s="49">
        <f>E85*F85</f>
        <v>3.6</v>
      </c>
      <c r="H85" s="51">
        <f>D85*G85</f>
        <v>40732.624800000005</v>
      </c>
      <c r="I85" s="51">
        <f>H85/0.61</f>
        <v>66774.794754098373</v>
      </c>
      <c r="J85" s="53">
        <v>4</v>
      </c>
      <c r="K85" s="54">
        <f>D85/J85</f>
        <v>2828.6545000000001</v>
      </c>
      <c r="L85" s="53">
        <f>J85</f>
        <v>4</v>
      </c>
      <c r="M85" s="56">
        <f>(H85/L85)/(N85*O85)</f>
        <v>115.7176840909091</v>
      </c>
      <c r="N85" s="53">
        <v>4</v>
      </c>
      <c r="O85" s="73">
        <v>22</v>
      </c>
      <c r="Q85"/>
    </row>
    <row r="86" spans="1:17" x14ac:dyDescent="0.25">
      <c r="A86" s="71"/>
      <c r="B86" s="48"/>
      <c r="C86" s="58"/>
      <c r="D86" s="48"/>
      <c r="E86" s="48"/>
      <c r="F86" s="48"/>
      <c r="G86" s="91"/>
      <c r="H86" s="90"/>
      <c r="I86" s="48"/>
      <c r="J86" s="48"/>
      <c r="K86" s="48"/>
      <c r="L86" s="76"/>
      <c r="M86" s="48"/>
      <c r="N86" s="48"/>
      <c r="O86" s="77"/>
    </row>
    <row r="87" spans="1:17" s="47" customFormat="1" ht="28.8" customHeight="1" x14ac:dyDescent="0.25">
      <c r="A87" s="72" t="s">
        <v>106</v>
      </c>
      <c r="B87" s="50" t="s">
        <v>115</v>
      </c>
      <c r="C87" s="57" t="s">
        <v>32</v>
      </c>
      <c r="D87" s="51">
        <v>7360.2674999999999</v>
      </c>
      <c r="E87" s="49">
        <v>4</v>
      </c>
      <c r="F87" s="52">
        <v>0.9</v>
      </c>
      <c r="G87" s="49">
        <f>E87*F87</f>
        <v>3.6</v>
      </c>
      <c r="H87" s="51">
        <f>D87*G87</f>
        <v>26496.963</v>
      </c>
      <c r="I87" s="51">
        <f>H87/0.61</f>
        <v>43437.644262295085</v>
      </c>
      <c r="J87" s="53">
        <v>3</v>
      </c>
      <c r="K87" s="54">
        <f>D87/J87</f>
        <v>2453.4225000000001</v>
      </c>
      <c r="L87" s="53">
        <f>J87</f>
        <v>3</v>
      </c>
      <c r="M87" s="51">
        <f>(H87/L87)/(N87*O87)</f>
        <v>100.3672840909091</v>
      </c>
      <c r="N87" s="53">
        <v>4</v>
      </c>
      <c r="O87" s="73">
        <v>22</v>
      </c>
      <c r="Q87"/>
    </row>
    <row r="88" spans="1:17" x14ac:dyDescent="0.25">
      <c r="A88" s="69"/>
      <c r="B88" s="29"/>
      <c r="C88" s="29"/>
      <c r="D88" s="36"/>
      <c r="E88" s="16"/>
      <c r="F88" s="18"/>
      <c r="G88" s="16"/>
      <c r="H88" s="36"/>
      <c r="I88" s="36"/>
      <c r="J88" s="19"/>
      <c r="K88" s="36"/>
      <c r="L88" s="30"/>
      <c r="M88" s="60"/>
      <c r="N88" s="19"/>
      <c r="O88" s="70"/>
    </row>
    <row r="89" spans="1:17" s="47" customFormat="1" ht="28.8" customHeight="1" x14ac:dyDescent="0.25">
      <c r="A89" s="72" t="s">
        <v>107</v>
      </c>
      <c r="B89" s="50" t="s">
        <v>116</v>
      </c>
      <c r="C89" s="57" t="s">
        <v>32</v>
      </c>
      <c r="D89" s="51">
        <v>9167.2476999999999</v>
      </c>
      <c r="E89" s="49">
        <v>4</v>
      </c>
      <c r="F89" s="52">
        <v>0.9</v>
      </c>
      <c r="G89" s="49">
        <f>E89*F89</f>
        <v>3.6</v>
      </c>
      <c r="H89" s="51">
        <f>D89*G89</f>
        <v>33002.091720000004</v>
      </c>
      <c r="I89" s="51">
        <f>H89/0.61</f>
        <v>54101.789704918039</v>
      </c>
      <c r="J89" s="53">
        <v>4</v>
      </c>
      <c r="K89" s="54">
        <f>D89/J89</f>
        <v>2291.811925</v>
      </c>
      <c r="L89" s="53">
        <f>J89</f>
        <v>4</v>
      </c>
      <c r="M89" s="56">
        <f>(H89/L89)/(N89*O89)</f>
        <v>93.755942386363643</v>
      </c>
      <c r="N89" s="53">
        <v>4</v>
      </c>
      <c r="O89" s="73">
        <v>22</v>
      </c>
      <c r="Q89"/>
    </row>
    <row r="90" spans="1:17" x14ac:dyDescent="0.25">
      <c r="A90" s="69"/>
      <c r="B90" s="29"/>
      <c r="C90" s="29"/>
      <c r="D90" s="36"/>
      <c r="E90" s="16"/>
      <c r="F90" s="18"/>
      <c r="G90" s="16"/>
      <c r="H90" s="36"/>
      <c r="I90" s="36"/>
      <c r="J90" s="19"/>
      <c r="K90" s="36"/>
      <c r="L90" s="30"/>
      <c r="M90" s="60"/>
      <c r="N90" s="19"/>
      <c r="O90" s="70"/>
    </row>
    <row r="91" spans="1:17" s="47" customFormat="1" ht="28.8" customHeight="1" x14ac:dyDescent="0.25">
      <c r="A91" s="72" t="s">
        <v>108</v>
      </c>
      <c r="B91" s="50" t="s">
        <v>117</v>
      </c>
      <c r="C91" s="57" t="s">
        <v>32</v>
      </c>
      <c r="D91" s="51">
        <v>18869.749800000001</v>
      </c>
      <c r="E91" s="49">
        <f>(3.5+3)/2</f>
        <v>3.25</v>
      </c>
      <c r="F91" s="52">
        <v>0.9</v>
      </c>
      <c r="G91" s="94">
        <f>E91*F91</f>
        <v>2.9250000000000003</v>
      </c>
      <c r="H91" s="51">
        <f>D91*G91</f>
        <v>55194.018165000009</v>
      </c>
      <c r="I91" s="51">
        <f>H91/0.61</f>
        <v>90481.996991803288</v>
      </c>
      <c r="J91" s="53">
        <v>6</v>
      </c>
      <c r="K91" s="54">
        <f>D91/J91</f>
        <v>3144.9583000000002</v>
      </c>
      <c r="L91" s="53">
        <f>J91</f>
        <v>6</v>
      </c>
      <c r="M91" s="56">
        <f>(H91/L91)/(N91*O91)</f>
        <v>104.53412531250001</v>
      </c>
      <c r="N91" s="53">
        <v>4</v>
      </c>
      <c r="O91" s="73">
        <v>22</v>
      </c>
      <c r="Q91"/>
    </row>
    <row r="92" spans="1:17" x14ac:dyDescent="0.25">
      <c r="A92" s="69"/>
      <c r="B92" s="29"/>
      <c r="C92" s="29"/>
      <c r="D92" s="36"/>
      <c r="E92" s="16"/>
      <c r="F92" s="18"/>
      <c r="G92" s="16"/>
      <c r="H92" s="36"/>
      <c r="I92" s="36"/>
      <c r="J92" s="19"/>
      <c r="K92" s="36"/>
      <c r="L92" s="30"/>
      <c r="M92" s="60"/>
      <c r="N92" s="19"/>
      <c r="O92" s="70"/>
    </row>
    <row r="93" spans="1:17" s="47" customFormat="1" ht="28.8" customHeight="1" x14ac:dyDescent="0.25">
      <c r="A93" s="72" t="s">
        <v>109</v>
      </c>
      <c r="B93" s="50" t="s">
        <v>118</v>
      </c>
      <c r="C93" s="57" t="s">
        <v>32</v>
      </c>
      <c r="D93" s="51">
        <v>13413.3676</v>
      </c>
      <c r="E93" s="49">
        <v>3</v>
      </c>
      <c r="F93" s="52">
        <v>0.9</v>
      </c>
      <c r="G93" s="49">
        <f>E93*F93</f>
        <v>2.7</v>
      </c>
      <c r="H93" s="51">
        <f>D93*G93</f>
        <v>36216.092519999998</v>
      </c>
      <c r="I93" s="51">
        <f>H93/0.61</f>
        <v>59370.643475409837</v>
      </c>
      <c r="J93" s="53">
        <v>4</v>
      </c>
      <c r="K93" s="54">
        <f>D93/J93</f>
        <v>3353.3418999999999</v>
      </c>
      <c r="L93" s="53">
        <f>J93</f>
        <v>4</v>
      </c>
      <c r="M93" s="56">
        <f>(H93/L93)/(N93*O93)</f>
        <v>102.88662647727273</v>
      </c>
      <c r="N93" s="53">
        <v>4</v>
      </c>
      <c r="O93" s="73">
        <v>22</v>
      </c>
      <c r="Q93"/>
    </row>
    <row r="94" spans="1:17" x14ac:dyDescent="0.25">
      <c r="A94" s="69"/>
      <c r="B94" s="29"/>
      <c r="C94" s="29"/>
      <c r="D94" s="36"/>
      <c r="E94" s="16"/>
      <c r="F94" s="18"/>
      <c r="G94" s="16"/>
      <c r="H94" s="36"/>
      <c r="I94" s="36"/>
      <c r="J94" s="19"/>
      <c r="K94" s="36"/>
      <c r="L94" s="30"/>
      <c r="M94" s="60"/>
      <c r="N94" s="19"/>
      <c r="O94" s="70"/>
    </row>
    <row r="95" spans="1:17" s="47" customFormat="1" ht="28.8" customHeight="1" x14ac:dyDescent="0.25">
      <c r="A95" s="72" t="s">
        <v>110</v>
      </c>
      <c r="B95" s="50" t="s">
        <v>119</v>
      </c>
      <c r="C95" s="57" t="s">
        <v>32</v>
      </c>
      <c r="D95" s="51">
        <v>24010.536800000002</v>
      </c>
      <c r="E95" s="49">
        <f>(3.5+3)/2</f>
        <v>3.25</v>
      </c>
      <c r="F95" s="52">
        <v>0.9</v>
      </c>
      <c r="G95" s="49">
        <f>E95*F95</f>
        <v>2.9250000000000003</v>
      </c>
      <c r="H95" s="51">
        <f>D95*G95</f>
        <v>70230.820140000011</v>
      </c>
      <c r="I95" s="51">
        <f>H95/0.61</f>
        <v>115132.4920327869</v>
      </c>
      <c r="J95" s="53">
        <v>7</v>
      </c>
      <c r="K95" s="54">
        <f>D95/J95</f>
        <v>3430.0766857142858</v>
      </c>
      <c r="L95" s="53">
        <f>J95</f>
        <v>7</v>
      </c>
      <c r="M95" s="56">
        <f>(H95/L95)/(N95*O95)</f>
        <v>114.01107165584418</v>
      </c>
      <c r="N95" s="53">
        <v>4</v>
      </c>
      <c r="O95" s="73">
        <v>22</v>
      </c>
      <c r="Q95"/>
    </row>
    <row r="96" spans="1:17" x14ac:dyDescent="0.25">
      <c r="A96" s="69"/>
      <c r="B96" s="29"/>
      <c r="C96" s="29"/>
      <c r="D96" s="36"/>
      <c r="E96" s="16"/>
      <c r="F96" s="18"/>
      <c r="G96" s="16"/>
      <c r="H96" s="36"/>
      <c r="I96" s="36"/>
      <c r="J96" s="19"/>
      <c r="K96" s="36"/>
      <c r="L96" s="30"/>
      <c r="M96" s="60"/>
      <c r="N96" s="19"/>
      <c r="O96" s="70"/>
    </row>
    <row r="97" spans="1:17" s="47" customFormat="1" ht="28.8" customHeight="1" x14ac:dyDescent="0.25">
      <c r="A97" s="72" t="s">
        <v>111</v>
      </c>
      <c r="B97" s="50" t="s">
        <v>120</v>
      </c>
      <c r="C97" s="57" t="s">
        <v>32</v>
      </c>
      <c r="D97" s="51">
        <v>13352.1338</v>
      </c>
      <c r="E97" s="49">
        <v>3</v>
      </c>
      <c r="F97" s="52">
        <v>0.9</v>
      </c>
      <c r="G97" s="49">
        <f>E97*F97</f>
        <v>2.7</v>
      </c>
      <c r="H97" s="51">
        <f>D97*G97</f>
        <v>36050.761259999999</v>
      </c>
      <c r="I97" s="51">
        <f>H97/0.61</f>
        <v>59099.608622950822</v>
      </c>
      <c r="J97" s="53">
        <v>5</v>
      </c>
      <c r="K97" s="54">
        <f>D97/J97</f>
        <v>2670.4267599999998</v>
      </c>
      <c r="L97" s="53">
        <f>J97</f>
        <v>5</v>
      </c>
      <c r="M97" s="56">
        <f>(H97/L97)/(N97*O97)</f>
        <v>81.93354831818182</v>
      </c>
      <c r="N97" s="53">
        <v>4</v>
      </c>
      <c r="O97" s="73">
        <v>22</v>
      </c>
      <c r="Q97"/>
    </row>
    <row r="98" spans="1:17" x14ac:dyDescent="0.25">
      <c r="A98" s="69"/>
      <c r="B98" s="29"/>
      <c r="C98" s="29"/>
      <c r="D98" s="36"/>
      <c r="E98" s="16"/>
      <c r="F98" s="18"/>
      <c r="G98" s="16"/>
      <c r="H98" s="36"/>
      <c r="I98" s="36"/>
      <c r="J98" s="19"/>
      <c r="K98" s="36"/>
      <c r="L98" s="30"/>
      <c r="M98" s="60"/>
      <c r="N98" s="19"/>
      <c r="O98" s="70"/>
    </row>
    <row r="99" spans="1:17" s="47" customFormat="1" ht="28.8" customHeight="1" x14ac:dyDescent="0.25">
      <c r="A99" s="72" t="s">
        <v>112</v>
      </c>
      <c r="B99" s="50" t="s">
        <v>121</v>
      </c>
      <c r="C99" s="57" t="s">
        <v>34</v>
      </c>
      <c r="D99" s="51">
        <v>4195.1554999999998</v>
      </c>
      <c r="E99" s="49"/>
      <c r="F99" s="52"/>
      <c r="G99" s="49"/>
      <c r="H99" s="51"/>
      <c r="I99" s="51"/>
      <c r="J99" s="53"/>
      <c r="K99" s="54"/>
      <c r="L99" s="53"/>
      <c r="M99" s="51"/>
      <c r="N99" s="53"/>
      <c r="O99" s="73"/>
      <c r="Q99"/>
    </row>
    <row r="100" spans="1:17" x14ac:dyDescent="0.25">
      <c r="A100" s="69"/>
      <c r="B100" s="29"/>
      <c r="C100" s="29"/>
      <c r="D100" s="36"/>
      <c r="E100" s="16"/>
      <c r="F100" s="18"/>
      <c r="G100" s="16"/>
      <c r="H100" s="36"/>
      <c r="I100" s="36"/>
      <c r="J100" s="19"/>
      <c r="K100" s="36"/>
      <c r="L100" s="30"/>
      <c r="M100" s="60"/>
      <c r="N100" s="19"/>
      <c r="O100" s="70"/>
    </row>
    <row r="101" spans="1:17" s="47" customFormat="1" ht="28.8" customHeight="1" x14ac:dyDescent="0.25">
      <c r="A101" s="72" t="s">
        <v>125</v>
      </c>
      <c r="B101" s="50" t="s">
        <v>122</v>
      </c>
      <c r="C101" s="57" t="s">
        <v>34</v>
      </c>
      <c r="D101" s="51">
        <v>30160.271100000002</v>
      </c>
      <c r="E101" s="49"/>
      <c r="F101" s="52"/>
      <c r="G101" s="49"/>
      <c r="H101" s="51"/>
      <c r="I101" s="51"/>
      <c r="J101" s="53"/>
      <c r="K101" s="54"/>
      <c r="L101" s="53"/>
      <c r="M101" s="56"/>
      <c r="N101" s="53"/>
      <c r="O101" s="73"/>
      <c r="Q101"/>
    </row>
    <row r="102" spans="1:17" ht="14.4" thickBot="1" x14ac:dyDescent="0.3">
      <c r="A102" s="74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9"/>
      <c r="M102" s="75"/>
      <c r="N102" s="75"/>
      <c r="O102" s="78"/>
    </row>
    <row r="103" spans="1:17" ht="15" thickTop="1" thickBot="1" x14ac:dyDescent="0.3">
      <c r="A103" s="35"/>
      <c r="B103" s="35"/>
      <c r="C103" s="35"/>
      <c r="D103" s="35"/>
      <c r="E103" s="35"/>
      <c r="F103" s="35"/>
      <c r="G103" s="35"/>
      <c r="H103" s="61"/>
      <c r="I103" s="35"/>
      <c r="J103" s="35"/>
      <c r="K103" s="35"/>
      <c r="L103" s="35"/>
      <c r="M103" s="35"/>
      <c r="N103" s="35"/>
      <c r="O103" s="35"/>
    </row>
    <row r="104" spans="1:17" ht="19.2" customHeight="1" thickTop="1" x14ac:dyDescent="0.25">
      <c r="A104" s="334" t="s">
        <v>123</v>
      </c>
      <c r="B104" s="335"/>
      <c r="C104" s="335"/>
      <c r="D104" s="335"/>
      <c r="E104" s="335"/>
      <c r="F104" s="335"/>
      <c r="G104" s="335"/>
      <c r="H104" s="335"/>
      <c r="I104" s="335"/>
      <c r="J104" s="335"/>
      <c r="K104" s="335"/>
      <c r="L104" s="64">
        <f>SUM(L109,L111,L113,L115,L117,L119,L121)</f>
        <v>31</v>
      </c>
      <c r="M104" s="65"/>
      <c r="N104" s="65"/>
      <c r="O104" s="66"/>
    </row>
    <row r="105" spans="1:17" s="47" customFormat="1" ht="28.8" customHeight="1" x14ac:dyDescent="0.25">
      <c r="A105" s="67" t="s">
        <v>43</v>
      </c>
      <c r="B105" s="41" t="s">
        <v>124</v>
      </c>
      <c r="C105" s="57" t="s">
        <v>17</v>
      </c>
      <c r="D105" s="43">
        <v>7899.0765000000001</v>
      </c>
      <c r="E105" s="49">
        <v>4</v>
      </c>
      <c r="F105" s="52">
        <v>0.2</v>
      </c>
      <c r="G105" s="49">
        <f>E105*F105</f>
        <v>0.8</v>
      </c>
      <c r="H105" s="51">
        <f>D105*G105</f>
        <v>6319.2612000000008</v>
      </c>
      <c r="I105" s="51">
        <f>H105/0.8</f>
        <v>7899.076500000001</v>
      </c>
      <c r="J105" s="53">
        <v>1</v>
      </c>
      <c r="K105" s="54">
        <f>D105/J105</f>
        <v>7899.0765000000001</v>
      </c>
      <c r="L105" s="53">
        <f>J105</f>
        <v>1</v>
      </c>
      <c r="M105" s="51">
        <f>(H105/L105)/(N105*O105)</f>
        <v>2106.4204000000004</v>
      </c>
      <c r="N105" s="53">
        <v>1</v>
      </c>
      <c r="O105" s="73">
        <v>3</v>
      </c>
      <c r="Q105"/>
    </row>
    <row r="106" spans="1:17" x14ac:dyDescent="0.25">
      <c r="A106" s="71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76"/>
      <c r="M106" s="48"/>
      <c r="N106" s="48"/>
      <c r="O106" s="77"/>
    </row>
    <row r="107" spans="1:17" s="47" customFormat="1" ht="28.8" customHeight="1" x14ac:dyDescent="0.25">
      <c r="A107" s="72" t="s">
        <v>53</v>
      </c>
      <c r="B107" s="50" t="s">
        <v>126</v>
      </c>
      <c r="C107" s="57" t="s">
        <v>34</v>
      </c>
      <c r="D107" s="51">
        <v>4919.1000000000004</v>
      </c>
      <c r="E107" s="49"/>
      <c r="F107" s="52"/>
      <c r="G107" s="49"/>
      <c r="H107" s="51"/>
      <c r="I107" s="51"/>
      <c r="J107" s="53"/>
      <c r="K107" s="54"/>
      <c r="L107" s="53"/>
      <c r="M107" s="51"/>
      <c r="N107" s="53"/>
      <c r="O107" s="73"/>
      <c r="Q107" t="s">
        <v>159</v>
      </c>
    </row>
    <row r="108" spans="1:17" x14ac:dyDescent="0.25">
      <c r="A108" s="71"/>
      <c r="B108" s="48"/>
      <c r="C108" s="58"/>
      <c r="D108" s="48"/>
      <c r="E108" s="48"/>
      <c r="F108" s="48"/>
      <c r="G108" s="48"/>
      <c r="H108" s="48"/>
      <c r="I108" s="48"/>
      <c r="J108" s="48"/>
      <c r="K108" s="48"/>
      <c r="L108" s="76"/>
      <c r="M108" s="48"/>
      <c r="N108" s="48"/>
      <c r="O108" s="77"/>
    </row>
    <row r="109" spans="1:17" s="47" customFormat="1" ht="28.8" customHeight="1" x14ac:dyDescent="0.25">
      <c r="A109" s="72" t="s">
        <v>53</v>
      </c>
      <c r="B109" s="50" t="s">
        <v>127</v>
      </c>
      <c r="C109" s="57" t="s">
        <v>32</v>
      </c>
      <c r="D109" s="51">
        <v>18230.486000000001</v>
      </c>
      <c r="E109" s="49">
        <f>(3.5+3)/2</f>
        <v>3.25</v>
      </c>
      <c r="F109" s="52">
        <v>0.9</v>
      </c>
      <c r="G109" s="49">
        <f>E109*F109</f>
        <v>2.9250000000000003</v>
      </c>
      <c r="H109" s="51">
        <f>D109*G109</f>
        <v>53324.171550000006</v>
      </c>
      <c r="I109" s="51">
        <f>H109/0.61</f>
        <v>87416.674672131165</v>
      </c>
      <c r="J109" s="53">
        <v>4</v>
      </c>
      <c r="K109" s="54">
        <f>D109/J109</f>
        <v>4557.6215000000002</v>
      </c>
      <c r="L109" s="53">
        <f>J109</f>
        <v>4</v>
      </c>
      <c r="M109" s="51">
        <f>(H109/L109)/(N109*O109)</f>
        <v>138.86503007812502</v>
      </c>
      <c r="N109" s="53">
        <v>4</v>
      </c>
      <c r="O109" s="73">
        <v>24</v>
      </c>
      <c r="Q109" t="s">
        <v>159</v>
      </c>
    </row>
    <row r="110" spans="1:17" x14ac:dyDescent="0.25">
      <c r="A110" s="71"/>
      <c r="B110" s="48"/>
      <c r="C110" s="58"/>
      <c r="D110" s="48"/>
      <c r="E110" s="48"/>
      <c r="F110" s="48"/>
      <c r="G110" s="91"/>
      <c r="H110" s="90"/>
      <c r="I110" s="48"/>
      <c r="J110" s="48"/>
      <c r="K110" s="48"/>
      <c r="L110" s="76"/>
      <c r="M110" s="48"/>
      <c r="N110" s="48"/>
      <c r="O110" s="77"/>
    </row>
    <row r="111" spans="1:17" s="47" customFormat="1" ht="28.8" customHeight="1" x14ac:dyDescent="0.25">
      <c r="A111" s="72" t="s">
        <v>72</v>
      </c>
      <c r="B111" s="50" t="s">
        <v>128</v>
      </c>
      <c r="C111" s="57" t="s">
        <v>32</v>
      </c>
      <c r="D111" s="51">
        <v>11688.1965</v>
      </c>
      <c r="E111" s="49">
        <v>3.5</v>
      </c>
      <c r="F111" s="52">
        <v>0.9</v>
      </c>
      <c r="G111" s="49">
        <f>E111*F111</f>
        <v>3.15</v>
      </c>
      <c r="H111" s="51">
        <f>D111*G111</f>
        <v>36817.818975000002</v>
      </c>
      <c r="I111" s="51">
        <f>H111/0.61</f>
        <v>60357.080286885248</v>
      </c>
      <c r="J111" s="53">
        <v>4</v>
      </c>
      <c r="K111" s="54">
        <f>D111/J111</f>
        <v>2922.049125</v>
      </c>
      <c r="L111" s="53">
        <f>J111</f>
        <v>4</v>
      </c>
      <c r="M111" s="56">
        <f>(H111/L111)/(N111*O111)</f>
        <v>95.879736914062505</v>
      </c>
      <c r="N111" s="53">
        <v>4</v>
      </c>
      <c r="O111" s="73">
        <v>24</v>
      </c>
      <c r="Q111"/>
    </row>
    <row r="112" spans="1:17" x14ac:dyDescent="0.25">
      <c r="A112" s="69"/>
      <c r="B112" s="29"/>
      <c r="C112" s="29"/>
      <c r="D112" s="36"/>
      <c r="E112" s="16"/>
      <c r="F112" s="18"/>
      <c r="G112" s="16"/>
      <c r="H112" s="36"/>
      <c r="I112" s="36"/>
      <c r="J112" s="19"/>
      <c r="K112" s="36"/>
      <c r="L112" s="30"/>
      <c r="M112" s="60"/>
      <c r="N112" s="19"/>
      <c r="O112" s="70"/>
    </row>
    <row r="113" spans="1:17" s="47" customFormat="1" ht="28.8" customHeight="1" x14ac:dyDescent="0.25">
      <c r="A113" s="72" t="s">
        <v>105</v>
      </c>
      <c r="B113" s="50" t="s">
        <v>129</v>
      </c>
      <c r="C113" s="57" t="s">
        <v>32</v>
      </c>
      <c r="D113" s="51">
        <v>15361.843999999999</v>
      </c>
      <c r="E113" s="49">
        <v>3.5</v>
      </c>
      <c r="F113" s="52">
        <v>0.9</v>
      </c>
      <c r="G113" s="49">
        <f>E113*F113</f>
        <v>3.15</v>
      </c>
      <c r="H113" s="51">
        <f>D113*G113</f>
        <v>48389.808599999997</v>
      </c>
      <c r="I113" s="51">
        <f>H113/0.61</f>
        <v>79327.555081967206</v>
      </c>
      <c r="J113" s="53">
        <v>5</v>
      </c>
      <c r="K113" s="54">
        <f>D113/J113</f>
        <v>3072.3687999999997</v>
      </c>
      <c r="L113" s="53">
        <f>J113</f>
        <v>5</v>
      </c>
      <c r="M113" s="56">
        <f>(H113/L113)/(N113*O113)</f>
        <v>100.81210125</v>
      </c>
      <c r="N113" s="53">
        <v>4</v>
      </c>
      <c r="O113" s="73">
        <v>24</v>
      </c>
      <c r="Q113"/>
    </row>
    <row r="114" spans="1:17" x14ac:dyDescent="0.25">
      <c r="A114" s="71"/>
      <c r="B114" s="48"/>
      <c r="C114" s="58"/>
      <c r="D114" s="48"/>
      <c r="E114" s="48"/>
      <c r="F114" s="48"/>
      <c r="G114" s="91"/>
      <c r="H114" s="90"/>
      <c r="I114" s="48"/>
      <c r="J114" s="48"/>
      <c r="K114" s="48"/>
      <c r="L114" s="76"/>
      <c r="M114" s="48"/>
      <c r="N114" s="48"/>
      <c r="O114" s="77"/>
    </row>
    <row r="115" spans="1:17" s="47" customFormat="1" ht="28.8" customHeight="1" x14ac:dyDescent="0.25">
      <c r="A115" s="72" t="s">
        <v>106</v>
      </c>
      <c r="B115" s="50" t="s">
        <v>130</v>
      </c>
      <c r="C115" s="57" t="s">
        <v>32</v>
      </c>
      <c r="D115" s="51">
        <v>12113.943300000001</v>
      </c>
      <c r="E115" s="49">
        <v>4</v>
      </c>
      <c r="F115" s="52">
        <v>0.9</v>
      </c>
      <c r="G115" s="49">
        <f>E115*F115</f>
        <v>3.6</v>
      </c>
      <c r="H115" s="51">
        <f>D115*G115</f>
        <v>43610.195880000007</v>
      </c>
      <c r="I115" s="51">
        <f>H115/0.61</f>
        <v>71492.124393442631</v>
      </c>
      <c r="J115" s="53">
        <v>4</v>
      </c>
      <c r="K115" s="54">
        <f>D115/J115</f>
        <v>3028.4858250000002</v>
      </c>
      <c r="L115" s="53">
        <f>J115</f>
        <v>4</v>
      </c>
      <c r="M115" s="56">
        <f>(H115/L115)/(N115*O115)</f>
        <v>113.56821843750002</v>
      </c>
      <c r="N115" s="53">
        <v>4</v>
      </c>
      <c r="O115" s="73">
        <v>24</v>
      </c>
      <c r="Q115"/>
    </row>
    <row r="116" spans="1:17" x14ac:dyDescent="0.25">
      <c r="A116" s="69"/>
      <c r="B116" s="29"/>
      <c r="C116" s="29"/>
      <c r="D116" s="36"/>
      <c r="E116" s="16"/>
      <c r="F116" s="18"/>
      <c r="G116" s="16"/>
      <c r="H116" s="36"/>
      <c r="I116" s="36"/>
      <c r="J116" s="19"/>
      <c r="K116" s="36"/>
      <c r="L116" s="30"/>
      <c r="M116" s="60"/>
      <c r="N116" s="19"/>
      <c r="O116" s="70"/>
    </row>
    <row r="117" spans="1:17" s="47" customFormat="1" ht="28.8" customHeight="1" x14ac:dyDescent="0.25">
      <c r="A117" s="72" t="s">
        <v>107</v>
      </c>
      <c r="B117" s="50" t="s">
        <v>131</v>
      </c>
      <c r="C117" s="57" t="s">
        <v>32</v>
      </c>
      <c r="D117" s="51">
        <v>21476.5936</v>
      </c>
      <c r="E117" s="49">
        <v>3.5</v>
      </c>
      <c r="F117" s="52">
        <v>0.9</v>
      </c>
      <c r="G117" s="49">
        <f>E117*F117</f>
        <v>3.15</v>
      </c>
      <c r="H117" s="51">
        <f>D117*G117</f>
        <v>67651.269839999994</v>
      </c>
      <c r="I117" s="51">
        <f>H117/0.61</f>
        <v>110903.72104918031</v>
      </c>
      <c r="J117" s="53">
        <v>5</v>
      </c>
      <c r="K117" s="54">
        <f>D117/J117</f>
        <v>4295.3187200000002</v>
      </c>
      <c r="L117" s="53">
        <f>J117</f>
        <v>5</v>
      </c>
      <c r="M117" s="56">
        <f>(H117/L117)/(N117*O117)</f>
        <v>140.9401455</v>
      </c>
      <c r="N117" s="53">
        <v>4</v>
      </c>
      <c r="O117" s="73">
        <v>24</v>
      </c>
      <c r="Q117"/>
    </row>
    <row r="118" spans="1:17" x14ac:dyDescent="0.25">
      <c r="A118" s="69"/>
      <c r="B118" s="29"/>
      <c r="C118" s="29"/>
      <c r="D118" s="36"/>
      <c r="E118" s="16"/>
      <c r="F118" s="18"/>
      <c r="G118" s="16"/>
      <c r="H118" s="36"/>
      <c r="I118" s="36"/>
      <c r="J118" s="19"/>
      <c r="K118" s="36"/>
      <c r="L118" s="30"/>
      <c r="M118" s="60"/>
      <c r="N118" s="19"/>
      <c r="O118" s="70"/>
    </row>
    <row r="119" spans="1:17" s="47" customFormat="1" ht="28.8" customHeight="1" x14ac:dyDescent="0.25">
      <c r="A119" s="72" t="s">
        <v>108</v>
      </c>
      <c r="B119" s="50" t="s">
        <v>132</v>
      </c>
      <c r="C119" s="57" t="s">
        <v>32</v>
      </c>
      <c r="D119" s="51">
        <v>11867.3251</v>
      </c>
      <c r="E119" s="49">
        <v>3.5</v>
      </c>
      <c r="F119" s="52">
        <v>0.8</v>
      </c>
      <c r="G119" s="49">
        <f>E119*F119</f>
        <v>2.8000000000000003</v>
      </c>
      <c r="H119" s="51">
        <f>D119*G119</f>
        <v>33228.510280000002</v>
      </c>
      <c r="I119" s="51">
        <f>H119/0.61</f>
        <v>54472.967672131155</v>
      </c>
      <c r="J119" s="53">
        <v>4</v>
      </c>
      <c r="K119" s="54">
        <f>D119/J119</f>
        <v>2966.831275</v>
      </c>
      <c r="L119" s="53">
        <f>J119</f>
        <v>4</v>
      </c>
      <c r="M119" s="56">
        <f>(H119/L119)/(N119*O119)</f>
        <v>57.688385902777782</v>
      </c>
      <c r="N119" s="53">
        <v>6</v>
      </c>
      <c r="O119" s="73">
        <v>24</v>
      </c>
      <c r="Q119"/>
    </row>
    <row r="120" spans="1:17" x14ac:dyDescent="0.25">
      <c r="A120" s="69"/>
      <c r="B120" s="29"/>
      <c r="C120" s="29"/>
      <c r="D120" s="36"/>
      <c r="E120" s="16"/>
      <c r="F120" s="18"/>
      <c r="G120" s="16"/>
      <c r="H120" s="36"/>
      <c r="I120" s="36"/>
      <c r="J120" s="19"/>
      <c r="K120" s="36"/>
      <c r="L120" s="30"/>
      <c r="M120" s="60"/>
      <c r="N120" s="19"/>
      <c r="O120" s="70"/>
    </row>
    <row r="121" spans="1:17" s="47" customFormat="1" ht="28.8" customHeight="1" x14ac:dyDescent="0.25">
      <c r="A121" s="72" t="s">
        <v>109</v>
      </c>
      <c r="B121" s="50" t="s">
        <v>133</v>
      </c>
      <c r="C121" s="57" t="s">
        <v>32</v>
      </c>
      <c r="D121" s="51">
        <v>13664.937400000001</v>
      </c>
      <c r="E121" s="49">
        <v>4</v>
      </c>
      <c r="F121" s="52">
        <v>0.8</v>
      </c>
      <c r="G121" s="49">
        <f>E121*F121</f>
        <v>3.2</v>
      </c>
      <c r="H121" s="51">
        <f>D121*G121</f>
        <v>43727.799680000004</v>
      </c>
      <c r="I121" s="51">
        <f>H121/0.61</f>
        <v>71684.917508196726</v>
      </c>
      <c r="J121" s="53">
        <v>5</v>
      </c>
      <c r="K121" s="54">
        <f>D121/J121</f>
        <v>2732.9874800000002</v>
      </c>
      <c r="L121" s="53">
        <f>J121</f>
        <v>5</v>
      </c>
      <c r="M121" s="56">
        <f>(H121/L121)/(N121*O121)</f>
        <v>60.733055111111121</v>
      </c>
      <c r="N121" s="53">
        <v>6</v>
      </c>
      <c r="O121" s="73">
        <v>24</v>
      </c>
      <c r="Q121"/>
    </row>
    <row r="122" spans="1:17" ht="14.4" thickBot="1" x14ac:dyDescent="0.3">
      <c r="A122" s="74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9"/>
      <c r="M122" s="75"/>
      <c r="N122" s="75"/>
      <c r="O122" s="78"/>
    </row>
    <row r="123" spans="1:17" ht="15" thickTop="1" thickBot="1" x14ac:dyDescent="0.3">
      <c r="A123" s="35"/>
      <c r="B123" s="35"/>
      <c r="C123" s="35"/>
      <c r="D123" s="35"/>
      <c r="E123" s="35"/>
      <c r="F123" s="35"/>
      <c r="G123" s="35"/>
      <c r="H123" s="61"/>
      <c r="I123" s="35"/>
      <c r="J123" s="35"/>
      <c r="K123" s="35"/>
      <c r="L123" s="35"/>
      <c r="M123" s="35"/>
      <c r="N123" s="35"/>
      <c r="O123" s="35"/>
    </row>
    <row r="124" spans="1:17" ht="19.2" customHeight="1" thickTop="1" x14ac:dyDescent="0.25">
      <c r="A124" s="334" t="s">
        <v>138</v>
      </c>
      <c r="B124" s="335"/>
      <c r="C124" s="335"/>
      <c r="D124" s="335"/>
      <c r="E124" s="335"/>
      <c r="F124" s="335"/>
      <c r="G124" s="335"/>
      <c r="H124" s="335"/>
      <c r="I124" s="335"/>
      <c r="J124" s="335"/>
      <c r="K124" s="335"/>
      <c r="L124" s="64"/>
      <c r="M124" s="65"/>
      <c r="N124" s="65"/>
      <c r="O124" s="66"/>
    </row>
    <row r="125" spans="1:17" s="47" customFormat="1" ht="28.8" customHeight="1" x14ac:dyDescent="0.25">
      <c r="A125" s="67" t="s">
        <v>43</v>
      </c>
      <c r="B125" s="41" t="s">
        <v>135</v>
      </c>
      <c r="C125" s="42"/>
      <c r="D125" s="43">
        <v>156094.41250000001</v>
      </c>
      <c r="E125" s="40"/>
      <c r="F125" s="44"/>
      <c r="G125" s="40"/>
      <c r="H125" s="43">
        <f>D125</f>
        <v>156094.41250000001</v>
      </c>
      <c r="I125" s="43"/>
      <c r="J125" s="45">
        <v>180</v>
      </c>
      <c r="K125" s="51">
        <f>H125/J125</f>
        <v>867.19118055555555</v>
      </c>
      <c r="L125" s="45"/>
      <c r="M125" s="56"/>
      <c r="N125" s="55"/>
      <c r="O125" s="68"/>
      <c r="Q125"/>
    </row>
    <row r="126" spans="1:17" ht="28.2" customHeight="1" x14ac:dyDescent="0.25">
      <c r="A126" s="80"/>
      <c r="B126" s="81"/>
      <c r="C126" s="29" t="s">
        <v>139</v>
      </c>
      <c r="D126" s="36">
        <f>26917.34-D127</f>
        <v>24494.779399999999</v>
      </c>
      <c r="E126" s="81">
        <v>3.5</v>
      </c>
      <c r="F126" s="18">
        <v>0.42</v>
      </c>
      <c r="G126" s="84">
        <f t="shared" ref="G126" si="16">E126*F126</f>
        <v>1.47</v>
      </c>
      <c r="H126" s="36">
        <f>D126*G126</f>
        <v>36007.325718</v>
      </c>
      <c r="I126" s="36">
        <f>H126/0.5</f>
        <v>72014.651436</v>
      </c>
      <c r="J126" s="19">
        <v>5</v>
      </c>
      <c r="K126" s="36">
        <f t="shared" ref="K126" si="17">D126/J126</f>
        <v>4898.9558799999995</v>
      </c>
      <c r="L126" s="30">
        <f t="shared" ref="L126" si="18">J126</f>
        <v>5</v>
      </c>
      <c r="M126" s="36">
        <f>H126/(N126*O126)</f>
        <v>1800.3662859000001</v>
      </c>
      <c r="N126" s="19">
        <v>5</v>
      </c>
      <c r="O126" s="83">
        <v>4</v>
      </c>
      <c r="Q126" t="s">
        <v>160</v>
      </c>
    </row>
    <row r="127" spans="1:17" ht="28.2" customHeight="1" x14ac:dyDescent="0.25">
      <c r="A127" s="85"/>
      <c r="B127" s="86"/>
      <c r="C127" s="29" t="s">
        <v>34</v>
      </c>
      <c r="D127" s="36">
        <f>26917.34*9%</f>
        <v>2422.5605999999998</v>
      </c>
      <c r="E127" s="86"/>
      <c r="F127" s="18"/>
      <c r="G127" s="84"/>
      <c r="H127" s="36">
        <f>D127*G127</f>
        <v>0</v>
      </c>
      <c r="I127" s="36">
        <f>H127</f>
        <v>0</v>
      </c>
      <c r="J127" s="86"/>
      <c r="K127" s="86"/>
      <c r="L127" s="87"/>
      <c r="M127" s="86"/>
      <c r="N127" s="86"/>
      <c r="O127" s="88"/>
    </row>
    <row r="128" spans="1:17" ht="14.4" thickBot="1" x14ac:dyDescent="0.3">
      <c r="A128" s="74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9"/>
      <c r="M128" s="75"/>
      <c r="N128" s="75"/>
      <c r="O128" s="78"/>
    </row>
    <row r="129" spans="1:17" ht="15" thickTop="1" thickBot="1" x14ac:dyDescent="0.3">
      <c r="A129" s="35"/>
      <c r="B129" s="35"/>
      <c r="C129" s="35"/>
      <c r="D129" s="35"/>
      <c r="E129" s="35"/>
      <c r="F129" s="35"/>
      <c r="G129" s="93"/>
      <c r="H129" s="92"/>
      <c r="I129" s="93"/>
      <c r="J129" s="93"/>
      <c r="K129" s="93"/>
      <c r="L129" s="93"/>
      <c r="M129" s="35"/>
      <c r="N129" s="35"/>
      <c r="O129" s="35"/>
    </row>
    <row r="130" spans="1:17" ht="19.2" customHeight="1" thickTop="1" x14ac:dyDescent="0.25">
      <c r="A130" s="334" t="s">
        <v>136</v>
      </c>
      <c r="B130" s="335"/>
      <c r="C130" s="335"/>
      <c r="D130" s="335"/>
      <c r="E130" s="335"/>
      <c r="F130" s="335"/>
      <c r="G130" s="335"/>
      <c r="H130" s="335"/>
      <c r="I130" s="335"/>
      <c r="J130" s="335"/>
      <c r="K130" s="335"/>
      <c r="L130" s="64">
        <f>SUM(L131,L133,L137,L139,L143,L145,L147,L149)</f>
        <v>24</v>
      </c>
      <c r="M130" s="65"/>
      <c r="N130" s="65"/>
      <c r="O130" s="66"/>
    </row>
    <row r="131" spans="1:17" s="47" customFormat="1" ht="28.8" customHeight="1" x14ac:dyDescent="0.25">
      <c r="A131" s="67" t="s">
        <v>43</v>
      </c>
      <c r="B131" s="41" t="s">
        <v>137</v>
      </c>
      <c r="C131" s="57" t="s">
        <v>94</v>
      </c>
      <c r="D131" s="43">
        <v>15156.8832</v>
      </c>
      <c r="E131" s="49">
        <v>4</v>
      </c>
      <c r="F131" s="52">
        <v>0.55000000000000004</v>
      </c>
      <c r="G131" s="49">
        <f t="shared" ref="G131" si="19">E131*F131</f>
        <v>2.2000000000000002</v>
      </c>
      <c r="H131" s="51">
        <f t="shared" ref="H131" si="20">D131*G131</f>
        <v>33345.143040000003</v>
      </c>
      <c r="I131" s="51">
        <f t="shared" ref="I131" si="21">H131/0.61</f>
        <v>54664.168918032796</v>
      </c>
      <c r="J131" s="53">
        <v>2</v>
      </c>
      <c r="K131" s="54">
        <f t="shared" ref="K131" si="22">D131/J131</f>
        <v>7578.4416000000001</v>
      </c>
      <c r="L131" s="53">
        <f t="shared" ref="L131" si="23">J131</f>
        <v>2</v>
      </c>
      <c r="M131" s="51">
        <f>H131/(N131*O131)</f>
        <v>1755.0075284210527</v>
      </c>
      <c r="N131" s="53">
        <v>1</v>
      </c>
      <c r="O131" s="73">
        <v>19</v>
      </c>
      <c r="Q131"/>
    </row>
    <row r="132" spans="1:17" x14ac:dyDescent="0.25">
      <c r="A132" s="71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76"/>
      <c r="M132" s="48"/>
      <c r="N132" s="48"/>
      <c r="O132" s="77"/>
    </row>
    <row r="133" spans="1:17" s="47" customFormat="1" ht="28.8" customHeight="1" x14ac:dyDescent="0.25">
      <c r="A133" s="72" t="s">
        <v>53</v>
      </c>
      <c r="B133" s="50" t="s">
        <v>126</v>
      </c>
      <c r="C133" s="57" t="s">
        <v>236</v>
      </c>
      <c r="D133" s="51">
        <v>10035.69</v>
      </c>
      <c r="E133" s="49">
        <v>3.5</v>
      </c>
      <c r="F133" s="52">
        <v>0.2</v>
      </c>
      <c r="G133" s="49">
        <f>E133*F133</f>
        <v>0.70000000000000007</v>
      </c>
      <c r="H133" s="51">
        <f>D133*G133</f>
        <v>7024.9830000000011</v>
      </c>
      <c r="I133" s="51">
        <f>H133/0.8</f>
        <v>8781.2287500000002</v>
      </c>
      <c r="J133" s="53">
        <v>1</v>
      </c>
      <c r="K133" s="54">
        <f>D133/J133</f>
        <v>10035.69</v>
      </c>
      <c r="L133" s="53">
        <f>J133</f>
        <v>1</v>
      </c>
      <c r="M133" s="51">
        <f>(H133/L133)/(N133*O133)</f>
        <v>2341.6610000000005</v>
      </c>
      <c r="N133" s="53">
        <v>1</v>
      </c>
      <c r="O133" s="73">
        <v>3</v>
      </c>
      <c r="Q133" t="s">
        <v>159</v>
      </c>
    </row>
    <row r="134" spans="1:17" x14ac:dyDescent="0.25">
      <c r="A134" s="71"/>
      <c r="B134" s="48"/>
      <c r="C134" s="58"/>
      <c r="D134" s="48"/>
      <c r="E134" s="48"/>
      <c r="F134" s="48"/>
      <c r="G134" s="48"/>
      <c r="H134" s="48"/>
      <c r="I134" s="48"/>
      <c r="J134" s="48"/>
      <c r="K134" s="48"/>
      <c r="L134" s="76"/>
      <c r="M134" s="48"/>
      <c r="N134" s="48"/>
      <c r="O134" s="77"/>
    </row>
    <row r="135" spans="1:17" s="47" customFormat="1" ht="28.8" customHeight="1" x14ac:dyDescent="0.25">
      <c r="A135" s="72" t="s">
        <v>53</v>
      </c>
      <c r="B135" s="50" t="s">
        <v>127</v>
      </c>
      <c r="C135" s="57" t="s">
        <v>34</v>
      </c>
      <c r="D135" s="51">
        <v>5435.83</v>
      </c>
      <c r="E135" s="49"/>
      <c r="F135" s="52"/>
      <c r="G135" s="49"/>
      <c r="H135" s="51"/>
      <c r="I135" s="51"/>
      <c r="J135" s="53"/>
      <c r="K135" s="54"/>
      <c r="L135" s="53"/>
      <c r="M135" s="51"/>
      <c r="N135" s="53"/>
      <c r="O135" s="73"/>
      <c r="Q135" t="s">
        <v>159</v>
      </c>
    </row>
    <row r="136" spans="1:17" x14ac:dyDescent="0.25">
      <c r="A136" s="71"/>
      <c r="B136" s="48"/>
      <c r="C136" s="58"/>
      <c r="D136" s="48"/>
      <c r="E136" s="48"/>
      <c r="F136" s="48"/>
      <c r="G136" s="91"/>
      <c r="H136" s="90"/>
      <c r="I136" s="48"/>
      <c r="J136" s="48"/>
      <c r="K136" s="48"/>
      <c r="L136" s="76"/>
      <c r="M136" s="48"/>
      <c r="N136" s="48"/>
      <c r="O136" s="77"/>
    </row>
    <row r="137" spans="1:17" s="47" customFormat="1" ht="28.8" customHeight="1" x14ac:dyDescent="0.25">
      <c r="A137" s="72" t="s">
        <v>72</v>
      </c>
      <c r="B137" s="50" t="s">
        <v>128</v>
      </c>
      <c r="C137" s="57" t="s">
        <v>155</v>
      </c>
      <c r="D137" s="51">
        <v>25846.67</v>
      </c>
      <c r="E137" s="49">
        <v>4</v>
      </c>
      <c r="F137" s="52">
        <v>0.8</v>
      </c>
      <c r="G137" s="49">
        <f>E137*F137</f>
        <v>3.2</v>
      </c>
      <c r="H137" s="51">
        <f>D137*G137</f>
        <v>82709.343999999997</v>
      </c>
      <c r="I137" s="51">
        <f>H137/0.61</f>
        <v>135589.08852459016</v>
      </c>
      <c r="J137" s="53">
        <v>8</v>
      </c>
      <c r="K137" s="54">
        <f>D137/J137</f>
        <v>3230.8337499999998</v>
      </c>
      <c r="L137" s="53">
        <f>J137</f>
        <v>8</v>
      </c>
      <c r="M137" s="51"/>
      <c r="N137" s="53"/>
      <c r="O137" s="73">
        <v>22</v>
      </c>
      <c r="Q137"/>
    </row>
    <row r="138" spans="1:17" x14ac:dyDescent="0.25">
      <c r="A138" s="69"/>
      <c r="B138" s="29"/>
      <c r="C138" s="29"/>
      <c r="D138" s="36"/>
      <c r="E138" s="16"/>
      <c r="F138" s="18"/>
      <c r="G138" s="16"/>
      <c r="H138" s="36"/>
      <c r="I138" s="36"/>
      <c r="J138" s="19"/>
      <c r="K138" s="36"/>
      <c r="L138" s="30"/>
      <c r="M138" s="60"/>
      <c r="N138" s="19"/>
      <c r="O138" s="70"/>
    </row>
    <row r="139" spans="1:17" s="47" customFormat="1" ht="28.8" customHeight="1" x14ac:dyDescent="0.25">
      <c r="A139" s="72" t="s">
        <v>105</v>
      </c>
      <c r="B139" s="50" t="s">
        <v>129</v>
      </c>
      <c r="C139" s="57" t="s">
        <v>155</v>
      </c>
      <c r="D139" s="51">
        <v>12862.8868</v>
      </c>
      <c r="E139" s="49">
        <v>4</v>
      </c>
      <c r="F139" s="52">
        <v>0.8</v>
      </c>
      <c r="G139" s="49">
        <f>E139*F139</f>
        <v>3.2</v>
      </c>
      <c r="H139" s="51">
        <f>D139*G139</f>
        <v>41161.237760000004</v>
      </c>
      <c r="I139" s="51">
        <f>H139/0.61</f>
        <v>67477.438950819676</v>
      </c>
      <c r="J139" s="53">
        <v>4</v>
      </c>
      <c r="K139" s="54">
        <f>D139/J139</f>
        <v>3215.7217000000001</v>
      </c>
      <c r="L139" s="53">
        <f>J139</f>
        <v>4</v>
      </c>
      <c r="M139" s="56"/>
      <c r="N139" s="53"/>
      <c r="O139" s="73">
        <v>24</v>
      </c>
      <c r="Q139"/>
    </row>
    <row r="140" spans="1:17" x14ac:dyDescent="0.25">
      <c r="A140" s="71"/>
      <c r="B140" s="48"/>
      <c r="C140" s="58"/>
      <c r="D140" s="48"/>
      <c r="E140" s="48"/>
      <c r="F140" s="48"/>
      <c r="G140" s="91"/>
      <c r="H140" s="90"/>
      <c r="I140" s="48"/>
      <c r="J140" s="48"/>
      <c r="K140" s="48"/>
      <c r="L140" s="76"/>
      <c r="M140" s="48"/>
      <c r="N140" s="48"/>
      <c r="O140" s="77"/>
    </row>
    <row r="141" spans="1:17" s="47" customFormat="1" ht="28.8" customHeight="1" x14ac:dyDescent="0.25">
      <c r="A141" s="72" t="s">
        <v>106</v>
      </c>
      <c r="B141" s="50" t="s">
        <v>130</v>
      </c>
      <c r="C141" s="57" t="s">
        <v>34</v>
      </c>
      <c r="D141" s="51">
        <v>4559.0002000000004</v>
      </c>
      <c r="E141" s="49"/>
      <c r="F141" s="52"/>
      <c r="G141" s="49"/>
      <c r="H141" s="51"/>
      <c r="I141" s="51"/>
      <c r="J141" s="53"/>
      <c r="K141" s="54"/>
      <c r="L141" s="53"/>
      <c r="M141" s="51"/>
      <c r="N141" s="53"/>
      <c r="O141" s="73"/>
      <c r="Q141"/>
    </row>
    <row r="142" spans="1:17" x14ac:dyDescent="0.25">
      <c r="A142" s="69"/>
      <c r="B142" s="29"/>
      <c r="C142" s="29"/>
      <c r="D142" s="36"/>
      <c r="E142" s="16"/>
      <c r="F142" s="18"/>
      <c r="G142" s="16"/>
      <c r="H142" s="36"/>
      <c r="I142" s="36"/>
      <c r="J142" s="19"/>
      <c r="K142" s="36"/>
      <c r="L142" s="30"/>
      <c r="M142" s="60"/>
      <c r="N142" s="19"/>
      <c r="O142" s="70"/>
    </row>
    <row r="143" spans="1:17" s="47" customFormat="1" ht="28.8" customHeight="1" x14ac:dyDescent="0.25">
      <c r="A143" s="72" t="s">
        <v>107</v>
      </c>
      <c r="B143" s="50" t="s">
        <v>131</v>
      </c>
      <c r="C143" s="57" t="s">
        <v>155</v>
      </c>
      <c r="D143" s="51">
        <v>9879.2721000000001</v>
      </c>
      <c r="E143" s="49">
        <v>4</v>
      </c>
      <c r="F143" s="52">
        <v>0.8</v>
      </c>
      <c r="G143" s="49">
        <f>E143*F143</f>
        <v>3.2</v>
      </c>
      <c r="H143" s="51">
        <f>D143*G143</f>
        <v>31613.670720000002</v>
      </c>
      <c r="I143" s="51">
        <f>H143/0.61</f>
        <v>51825.689704918041</v>
      </c>
      <c r="J143" s="53">
        <v>3</v>
      </c>
      <c r="K143" s="54">
        <f>D143/J143</f>
        <v>3293.0907000000002</v>
      </c>
      <c r="L143" s="53">
        <f>J143</f>
        <v>3</v>
      </c>
      <c r="M143" s="56"/>
      <c r="N143" s="53"/>
      <c r="O143" s="73">
        <v>24</v>
      </c>
      <c r="Q143"/>
    </row>
    <row r="144" spans="1:17" x14ac:dyDescent="0.25">
      <c r="A144" s="69"/>
      <c r="B144" s="29"/>
      <c r="C144" s="29"/>
      <c r="D144" s="36"/>
      <c r="E144" s="16"/>
      <c r="F144" s="18"/>
      <c r="G144" s="16"/>
      <c r="H144" s="36"/>
      <c r="I144" s="36"/>
      <c r="J144" s="19"/>
      <c r="K144" s="36"/>
      <c r="L144" s="30"/>
      <c r="M144" s="60"/>
      <c r="N144" s="19"/>
      <c r="O144" s="70"/>
    </row>
    <row r="145" spans="1:17" s="47" customFormat="1" ht="28.8" customHeight="1" x14ac:dyDescent="0.25">
      <c r="A145" s="72" t="s">
        <v>108</v>
      </c>
      <c r="B145" s="50" t="s">
        <v>132</v>
      </c>
      <c r="C145" s="57" t="s">
        <v>94</v>
      </c>
      <c r="D145" s="51">
        <v>7399.5600999999997</v>
      </c>
      <c r="E145" s="49">
        <v>4</v>
      </c>
      <c r="F145" s="52">
        <v>0.55000000000000004</v>
      </c>
      <c r="G145" s="49">
        <f>E145*F145</f>
        <v>2.2000000000000002</v>
      </c>
      <c r="H145" s="51">
        <f>D145*G145</f>
        <v>16279.032220000001</v>
      </c>
      <c r="I145" s="51">
        <f>H145/0.61</f>
        <v>26686.938065573773</v>
      </c>
      <c r="J145" s="53">
        <v>2</v>
      </c>
      <c r="K145" s="54">
        <f>D145/J145</f>
        <v>3699.7800499999998</v>
      </c>
      <c r="L145" s="53">
        <f>J145</f>
        <v>2</v>
      </c>
      <c r="M145" s="56"/>
      <c r="N145" s="53"/>
      <c r="O145" s="73">
        <v>20</v>
      </c>
      <c r="Q145"/>
    </row>
    <row r="146" spans="1:17" x14ac:dyDescent="0.25">
      <c r="A146" s="69"/>
      <c r="B146" s="29"/>
      <c r="C146" s="29"/>
      <c r="D146" s="36"/>
      <c r="E146" s="16"/>
      <c r="F146" s="18"/>
      <c r="G146" s="16"/>
      <c r="H146" s="36"/>
      <c r="I146" s="36"/>
      <c r="J146" s="19"/>
      <c r="K146" s="36"/>
      <c r="L146" s="30"/>
      <c r="M146" s="60"/>
      <c r="N146" s="19"/>
      <c r="O146" s="70"/>
    </row>
    <row r="147" spans="1:17" s="47" customFormat="1" ht="28.8" customHeight="1" x14ac:dyDescent="0.25">
      <c r="A147" s="72" t="s">
        <v>109</v>
      </c>
      <c r="B147" s="50" t="s">
        <v>133</v>
      </c>
      <c r="C147" s="57" t="s">
        <v>94</v>
      </c>
      <c r="D147" s="51">
        <v>5555.8972999999996</v>
      </c>
      <c r="E147" s="49">
        <v>3.5</v>
      </c>
      <c r="F147" s="52">
        <v>0.42</v>
      </c>
      <c r="G147" s="49">
        <f t="shared" ref="G147" si="24">E147*F147</f>
        <v>1.47</v>
      </c>
      <c r="H147" s="51">
        <f>D147*G147</f>
        <v>8167.1690309999994</v>
      </c>
      <c r="I147" s="51">
        <f>H147/0.5</f>
        <v>16334.338061999999</v>
      </c>
      <c r="J147" s="53">
        <v>2</v>
      </c>
      <c r="K147" s="54">
        <f t="shared" ref="K147" si="25">D147/J147</f>
        <v>2777.9486499999998</v>
      </c>
      <c r="L147" s="53">
        <f>J147</f>
        <v>2</v>
      </c>
      <c r="M147" s="56"/>
      <c r="N147" s="53"/>
      <c r="O147" s="73">
        <v>4</v>
      </c>
      <c r="Q147"/>
    </row>
    <row r="148" spans="1:17" x14ac:dyDescent="0.25">
      <c r="A148" s="69"/>
      <c r="B148" s="29"/>
      <c r="C148" s="29"/>
      <c r="D148" s="36"/>
      <c r="E148" s="16"/>
      <c r="F148" s="18"/>
      <c r="G148" s="16"/>
      <c r="H148" s="36"/>
      <c r="I148" s="36"/>
      <c r="J148" s="19"/>
      <c r="K148" s="36"/>
      <c r="L148" s="30"/>
      <c r="M148" s="60"/>
      <c r="N148" s="19"/>
      <c r="O148" s="70"/>
    </row>
    <row r="149" spans="1:17" s="47" customFormat="1" ht="28.8" customHeight="1" x14ac:dyDescent="0.25">
      <c r="A149" s="72"/>
      <c r="B149" s="50"/>
      <c r="C149" s="57" t="s">
        <v>94</v>
      </c>
      <c r="D149" s="51">
        <v>5555.8972999999996</v>
      </c>
      <c r="E149" s="49">
        <v>3.5</v>
      </c>
      <c r="F149" s="52">
        <v>0.42</v>
      </c>
      <c r="G149" s="49">
        <f t="shared" ref="G149" si="26">E149*F149</f>
        <v>1.47</v>
      </c>
      <c r="H149" s="51">
        <f>D149*G149</f>
        <v>8167.1690309999994</v>
      </c>
      <c r="I149" s="51">
        <f>H149/0.5</f>
        <v>16334.338061999999</v>
      </c>
      <c r="J149" s="53">
        <v>2</v>
      </c>
      <c r="K149" s="54">
        <f t="shared" ref="K149" si="27">D149/J149</f>
        <v>2777.9486499999998</v>
      </c>
      <c r="L149" s="53">
        <f>J149</f>
        <v>2</v>
      </c>
      <c r="M149" s="56"/>
      <c r="N149" s="53"/>
      <c r="O149" s="73">
        <v>4</v>
      </c>
      <c r="Q149"/>
    </row>
    <row r="150" spans="1:17" ht="14.4" thickBot="1" x14ac:dyDescent="0.3">
      <c r="A150" s="74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9"/>
      <c r="M150" s="75"/>
      <c r="N150" s="75"/>
      <c r="O150" s="78"/>
    </row>
    <row r="151" spans="1:17" ht="15" thickTop="1" thickBot="1" x14ac:dyDescent="0.3">
      <c r="A151" s="35"/>
      <c r="B151" s="35"/>
      <c r="C151" s="35"/>
      <c r="D151" s="35"/>
      <c r="E151" s="35"/>
      <c r="F151" s="35"/>
      <c r="G151" s="35"/>
      <c r="H151" s="61"/>
      <c r="I151" s="35"/>
      <c r="J151" s="35"/>
      <c r="K151" s="35"/>
      <c r="L151" s="35"/>
      <c r="M151" s="35"/>
      <c r="N151" s="35"/>
      <c r="O151" s="35"/>
    </row>
    <row r="152" spans="1:17" ht="19.2" customHeight="1" thickTop="1" x14ac:dyDescent="0.25">
      <c r="A152" s="334" t="s">
        <v>266</v>
      </c>
      <c r="B152" s="335"/>
      <c r="C152" s="335"/>
      <c r="D152" s="335"/>
      <c r="E152" s="335"/>
      <c r="F152" s="335"/>
      <c r="G152" s="335"/>
      <c r="H152" s="335"/>
      <c r="I152" s="335"/>
      <c r="J152" s="335"/>
      <c r="K152" s="335"/>
      <c r="L152" s="64"/>
      <c r="M152" s="65"/>
      <c r="N152" s="65"/>
      <c r="O152" s="66"/>
    </row>
    <row r="153" spans="1:17" s="47" customFormat="1" ht="28.8" customHeight="1" x14ac:dyDescent="0.25">
      <c r="A153" s="67" t="s">
        <v>43</v>
      </c>
      <c r="B153" s="41" t="s">
        <v>267</v>
      </c>
      <c r="C153" s="42"/>
      <c r="D153" s="43">
        <v>238616.86</v>
      </c>
      <c r="E153" s="40"/>
      <c r="F153" s="44"/>
      <c r="G153" s="40"/>
      <c r="H153" s="43">
        <f>D153*0.55</f>
        <v>131239.27300000002</v>
      </c>
      <c r="I153" s="43"/>
      <c r="J153" s="45">
        <v>260</v>
      </c>
      <c r="K153" s="51">
        <f>H153/J153</f>
        <v>504.7664346153847</v>
      </c>
      <c r="L153" s="45"/>
      <c r="M153" s="56"/>
      <c r="N153" s="55"/>
      <c r="O153" s="68"/>
      <c r="Q153"/>
    </row>
    <row r="154" spans="1:17" ht="14.4" thickBot="1" x14ac:dyDescent="0.3">
      <c r="A154" s="74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9"/>
      <c r="M154" s="75"/>
      <c r="N154" s="75"/>
      <c r="O154" s="78"/>
    </row>
    <row r="155" spans="1:17" ht="15" thickTop="1" thickBot="1" x14ac:dyDescent="0.3">
      <c r="A155" s="35"/>
      <c r="B155" s="35"/>
      <c r="C155" s="35"/>
      <c r="D155" s="35"/>
      <c r="E155" s="35"/>
      <c r="F155" s="35"/>
      <c r="G155" s="35"/>
      <c r="H155" s="61"/>
      <c r="I155" s="35"/>
      <c r="J155" s="35"/>
      <c r="K155" s="35"/>
      <c r="L155" s="35"/>
      <c r="M155" s="35"/>
      <c r="N155" s="35"/>
      <c r="O155" s="35"/>
    </row>
    <row r="156" spans="1:17" ht="19.2" customHeight="1" thickTop="1" x14ac:dyDescent="0.25">
      <c r="A156" s="334" t="s">
        <v>272</v>
      </c>
      <c r="B156" s="335"/>
      <c r="C156" s="335"/>
      <c r="D156" s="335"/>
      <c r="E156" s="335"/>
      <c r="F156" s="335"/>
      <c r="G156" s="335"/>
      <c r="H156" s="335"/>
      <c r="I156" s="335"/>
      <c r="J156" s="335"/>
      <c r="K156" s="335"/>
      <c r="L156" s="64"/>
      <c r="M156" s="65"/>
      <c r="N156" s="65"/>
      <c r="O156" s="66"/>
    </row>
    <row r="157" spans="1:17" s="47" customFormat="1" ht="28.8" customHeight="1" x14ac:dyDescent="0.25">
      <c r="A157" s="67" t="s">
        <v>43</v>
      </c>
      <c r="B157" s="41" t="s">
        <v>273</v>
      </c>
      <c r="C157" s="42"/>
      <c r="D157" s="43">
        <v>231512.98</v>
      </c>
      <c r="E157" s="40"/>
      <c r="F157" s="44"/>
      <c r="G157" s="40"/>
      <c r="H157" s="43">
        <f>D157*0.55</f>
        <v>127332.13900000001</v>
      </c>
      <c r="I157" s="43"/>
      <c r="J157" s="45">
        <v>290</v>
      </c>
      <c r="K157" s="51">
        <f>H157/J157</f>
        <v>439.07634137931041</v>
      </c>
      <c r="L157" s="45"/>
      <c r="M157" s="56"/>
      <c r="N157" s="55"/>
      <c r="O157" s="68"/>
      <c r="Q157"/>
    </row>
    <row r="158" spans="1:17" ht="14.4" thickBot="1" x14ac:dyDescent="0.3">
      <c r="A158" s="74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9"/>
      <c r="M158" s="75"/>
      <c r="N158" s="75"/>
      <c r="O158" s="78"/>
    </row>
    <row r="159" spans="1:17" ht="14.4" thickTop="1" x14ac:dyDescent="0.25">
      <c r="A159" s="35"/>
      <c r="B159" s="35"/>
      <c r="C159" s="35"/>
      <c r="D159" s="35"/>
      <c r="E159" s="35"/>
      <c r="F159" s="35"/>
      <c r="G159" s="35"/>
      <c r="H159" s="61"/>
      <c r="I159" s="35"/>
      <c r="J159" s="35"/>
      <c r="K159" s="35"/>
      <c r="L159" s="35"/>
      <c r="M159" s="35"/>
      <c r="N159" s="35"/>
      <c r="O159" s="35"/>
    </row>
    <row r="160" spans="1:17" x14ac:dyDescent="0.25">
      <c r="A160" s="35"/>
      <c r="B160" s="35"/>
      <c r="C160" s="35"/>
      <c r="D160" s="35"/>
      <c r="E160" s="35"/>
      <c r="F160" s="35"/>
      <c r="G160" s="35"/>
      <c r="H160" s="61"/>
      <c r="I160" s="35"/>
      <c r="J160" s="35"/>
      <c r="K160" s="35"/>
      <c r="L160" s="35"/>
      <c r="M160" s="35"/>
      <c r="N160" s="35"/>
      <c r="O160" s="35"/>
    </row>
    <row r="161" spans="1:15" x14ac:dyDescent="0.25">
      <c r="A161" s="35"/>
      <c r="B161" s="35"/>
      <c r="C161" s="35"/>
      <c r="D161" s="35"/>
      <c r="E161" s="35"/>
      <c r="F161" s="35"/>
      <c r="G161" s="35"/>
      <c r="H161" s="61"/>
      <c r="I161" s="35"/>
      <c r="J161" s="35"/>
      <c r="K161" s="35"/>
      <c r="L161" s="35"/>
      <c r="M161" s="35"/>
      <c r="N161" s="35"/>
      <c r="O161" s="35"/>
    </row>
    <row r="162" spans="1:15" x14ac:dyDescent="0.25">
      <c r="A162" s="35"/>
      <c r="B162" s="35"/>
      <c r="C162" s="35"/>
      <c r="D162" s="35"/>
      <c r="E162" s="35"/>
      <c r="F162" s="35"/>
      <c r="G162" s="35"/>
      <c r="H162" s="61"/>
      <c r="I162" s="35"/>
      <c r="J162" s="35"/>
      <c r="K162" s="35"/>
      <c r="L162" s="35"/>
      <c r="M162" s="35"/>
      <c r="N162" s="35"/>
      <c r="O162" s="35"/>
    </row>
    <row r="163" spans="1:15" x14ac:dyDescent="0.25">
      <c r="A163" s="35"/>
      <c r="B163" s="35"/>
      <c r="C163" s="35"/>
      <c r="D163" s="35"/>
      <c r="E163" s="35"/>
      <c r="F163" s="35"/>
      <c r="G163" s="35"/>
      <c r="H163" s="61"/>
      <c r="I163" s="35"/>
      <c r="J163" s="35"/>
      <c r="K163" s="35"/>
      <c r="L163" s="35"/>
      <c r="M163" s="35"/>
      <c r="N163" s="35"/>
      <c r="O163" s="35"/>
    </row>
    <row r="164" spans="1:15" x14ac:dyDescent="0.25">
      <c r="A164" s="35"/>
      <c r="B164" s="35"/>
      <c r="C164" s="35"/>
      <c r="D164" s="35"/>
      <c r="E164" s="35"/>
      <c r="F164" s="35"/>
      <c r="G164" s="35"/>
      <c r="H164" s="61"/>
      <c r="I164" s="35"/>
      <c r="J164" s="35"/>
      <c r="K164" s="35"/>
      <c r="L164" s="35"/>
      <c r="M164" s="35"/>
      <c r="N164" s="35"/>
      <c r="O164" s="35"/>
    </row>
    <row r="165" spans="1:15" x14ac:dyDescent="0.25">
      <c r="A165" s="35"/>
      <c r="B165" s="35"/>
      <c r="C165" s="35"/>
      <c r="D165" s="35"/>
      <c r="E165" s="35"/>
      <c r="F165" s="35"/>
      <c r="G165" s="35"/>
      <c r="H165" s="61"/>
      <c r="I165" s="35"/>
      <c r="J165" s="35"/>
      <c r="K165" s="35"/>
      <c r="L165" s="35"/>
      <c r="M165" s="35"/>
      <c r="N165" s="35"/>
      <c r="O165" s="35"/>
    </row>
    <row r="166" spans="1:15" x14ac:dyDescent="0.25">
      <c r="A166" s="35"/>
      <c r="B166" s="35"/>
      <c r="C166" s="35"/>
      <c r="D166" s="35"/>
      <c r="E166" s="35"/>
      <c r="F166" s="35"/>
      <c r="G166" s="35"/>
      <c r="H166" s="61"/>
      <c r="I166" s="35"/>
      <c r="J166" s="35"/>
      <c r="K166" s="35"/>
      <c r="L166" s="35"/>
      <c r="M166" s="35"/>
      <c r="N166" s="35"/>
      <c r="O166" s="35"/>
    </row>
    <row r="167" spans="1:15" x14ac:dyDescent="0.25">
      <c r="A167" s="35"/>
      <c r="B167" s="35"/>
      <c r="C167" s="35"/>
      <c r="D167" s="35"/>
      <c r="E167" s="35"/>
      <c r="F167" s="35"/>
      <c r="G167" s="35"/>
      <c r="H167" s="61"/>
      <c r="I167" s="35"/>
      <c r="J167" s="35"/>
      <c r="K167" s="35"/>
      <c r="L167" s="35"/>
      <c r="M167" s="35"/>
      <c r="N167" s="35"/>
      <c r="O167" s="35"/>
    </row>
    <row r="168" spans="1:15" x14ac:dyDescent="0.25">
      <c r="A168" s="35"/>
      <c r="B168" s="35"/>
      <c r="C168" s="35"/>
      <c r="D168" s="35"/>
      <c r="E168" s="35"/>
      <c r="F168" s="35"/>
      <c r="G168" s="35"/>
      <c r="H168" s="61"/>
      <c r="I168" s="35"/>
      <c r="J168" s="35"/>
      <c r="K168" s="35"/>
      <c r="L168" s="35"/>
      <c r="M168" s="35"/>
      <c r="N168" s="35"/>
      <c r="O168" s="35"/>
    </row>
    <row r="169" spans="1:15" x14ac:dyDescent="0.25">
      <c r="A169" s="35"/>
      <c r="B169" s="35"/>
      <c r="C169" s="35"/>
      <c r="D169" s="35"/>
      <c r="E169" s="35"/>
      <c r="F169" s="35"/>
      <c r="G169" s="35"/>
      <c r="H169" s="61"/>
      <c r="I169" s="35"/>
      <c r="J169" s="35"/>
      <c r="K169" s="35"/>
      <c r="L169" s="35"/>
      <c r="M169" s="35"/>
      <c r="N169" s="35"/>
      <c r="O169" s="35"/>
    </row>
    <row r="170" spans="1:15" x14ac:dyDescent="0.25">
      <c r="A170" s="35"/>
      <c r="B170" s="35"/>
      <c r="C170" s="35"/>
      <c r="D170" s="35"/>
      <c r="E170" s="35"/>
      <c r="F170" s="35"/>
      <c r="G170" s="35"/>
      <c r="H170" s="61"/>
      <c r="I170" s="35"/>
      <c r="J170" s="35"/>
      <c r="K170" s="35"/>
      <c r="L170" s="35"/>
      <c r="M170" s="35"/>
      <c r="N170" s="35"/>
      <c r="O170" s="35"/>
    </row>
    <row r="171" spans="1:15" x14ac:dyDescent="0.25">
      <c r="A171" s="35"/>
      <c r="B171" s="35"/>
      <c r="C171" s="35"/>
      <c r="D171" s="35"/>
      <c r="E171" s="35"/>
      <c r="F171" s="35"/>
      <c r="G171" s="35"/>
      <c r="H171" s="61"/>
      <c r="I171" s="35"/>
      <c r="J171" s="35"/>
      <c r="K171" s="35"/>
      <c r="L171" s="35"/>
      <c r="M171" s="35"/>
      <c r="N171" s="35"/>
      <c r="O171" s="35"/>
    </row>
    <row r="172" spans="1:15" x14ac:dyDescent="0.25">
      <c r="A172" s="35"/>
      <c r="B172" s="35"/>
      <c r="C172" s="35"/>
      <c r="D172" s="35"/>
      <c r="E172" s="35"/>
      <c r="F172" s="35"/>
      <c r="G172" s="35"/>
      <c r="H172" s="61"/>
      <c r="I172" s="35"/>
      <c r="J172" s="35"/>
      <c r="K172" s="35"/>
      <c r="L172" s="35"/>
      <c r="M172" s="35"/>
      <c r="N172" s="35"/>
      <c r="O172" s="35"/>
    </row>
    <row r="173" spans="1:15" x14ac:dyDescent="0.25">
      <c r="A173" s="35"/>
      <c r="B173" s="35"/>
      <c r="C173" s="35"/>
      <c r="D173" s="35"/>
      <c r="E173" s="35"/>
      <c r="F173" s="35"/>
      <c r="G173" s="35"/>
      <c r="H173" s="61"/>
      <c r="I173" s="35"/>
      <c r="J173" s="35"/>
      <c r="K173" s="35"/>
      <c r="L173" s="35"/>
      <c r="M173" s="35"/>
      <c r="N173" s="35"/>
      <c r="O173" s="35"/>
    </row>
    <row r="174" spans="1:15" x14ac:dyDescent="0.25">
      <c r="A174" s="35"/>
      <c r="B174" s="35"/>
      <c r="C174" s="35"/>
      <c r="D174" s="35"/>
      <c r="E174" s="35"/>
      <c r="F174" s="35"/>
      <c r="G174" s="35"/>
      <c r="H174" s="61"/>
      <c r="I174" s="35"/>
      <c r="J174" s="35"/>
      <c r="K174" s="35"/>
      <c r="L174" s="35"/>
      <c r="M174" s="35"/>
      <c r="N174" s="35"/>
      <c r="O174" s="35"/>
    </row>
    <row r="175" spans="1:15" x14ac:dyDescent="0.25">
      <c r="A175" s="35"/>
      <c r="B175" s="35"/>
      <c r="C175" s="35"/>
      <c r="D175" s="35"/>
      <c r="E175" s="35"/>
      <c r="F175" s="35"/>
      <c r="G175" s="35"/>
      <c r="H175" s="61"/>
      <c r="I175" s="35"/>
      <c r="J175" s="35"/>
      <c r="K175" s="35"/>
      <c r="L175" s="35"/>
      <c r="M175" s="35"/>
      <c r="N175" s="35"/>
      <c r="O175" s="35"/>
    </row>
    <row r="176" spans="1:15" x14ac:dyDescent="0.25">
      <c r="A176" s="35"/>
      <c r="B176" s="35"/>
      <c r="C176" s="35"/>
      <c r="D176" s="35"/>
      <c r="E176" s="35"/>
      <c r="F176" s="35"/>
      <c r="G176" s="35"/>
      <c r="H176" s="61"/>
      <c r="I176" s="35"/>
      <c r="J176" s="35"/>
      <c r="K176" s="35"/>
      <c r="L176" s="35"/>
      <c r="M176" s="35"/>
      <c r="N176" s="35"/>
      <c r="O176" s="35"/>
    </row>
    <row r="177" spans="1:15" x14ac:dyDescent="0.25">
      <c r="A177" s="35"/>
      <c r="B177" s="35"/>
      <c r="C177" s="35"/>
      <c r="D177" s="35"/>
      <c r="E177" s="35"/>
      <c r="F177" s="35"/>
      <c r="G177" s="35"/>
      <c r="H177" s="61"/>
      <c r="I177" s="35"/>
      <c r="J177" s="35"/>
      <c r="K177" s="35"/>
      <c r="L177" s="35"/>
      <c r="M177" s="35"/>
      <c r="N177" s="35"/>
      <c r="O177" s="35"/>
    </row>
    <row r="178" spans="1:15" x14ac:dyDescent="0.25">
      <c r="A178" s="35"/>
      <c r="B178" s="35"/>
      <c r="C178" s="35"/>
      <c r="D178" s="35"/>
      <c r="E178" s="35"/>
      <c r="F178" s="35"/>
      <c r="G178" s="35"/>
      <c r="H178" s="61"/>
      <c r="I178" s="35"/>
      <c r="J178" s="35"/>
      <c r="K178" s="35"/>
      <c r="L178" s="35"/>
      <c r="M178" s="35"/>
      <c r="N178" s="35"/>
      <c r="O178" s="35"/>
    </row>
    <row r="179" spans="1:15" x14ac:dyDescent="0.25">
      <c r="A179" s="35"/>
      <c r="B179" s="35"/>
      <c r="C179" s="35"/>
      <c r="D179" s="35"/>
      <c r="E179" s="35"/>
      <c r="F179" s="35"/>
      <c r="G179" s="35"/>
      <c r="H179" s="61"/>
      <c r="I179" s="35"/>
      <c r="J179" s="35"/>
      <c r="K179" s="35"/>
      <c r="L179" s="35"/>
      <c r="M179" s="35"/>
      <c r="N179" s="35"/>
      <c r="O179" s="35"/>
    </row>
    <row r="180" spans="1:15" x14ac:dyDescent="0.25">
      <c r="A180" s="35"/>
      <c r="B180" s="35"/>
      <c r="C180" s="35"/>
      <c r="D180" s="35"/>
      <c r="E180" s="35"/>
      <c r="F180" s="35"/>
      <c r="G180" s="35"/>
      <c r="H180" s="61"/>
      <c r="I180" s="35"/>
      <c r="J180" s="35"/>
      <c r="K180" s="35"/>
      <c r="L180" s="35"/>
      <c r="M180" s="35"/>
      <c r="N180" s="35"/>
      <c r="O180" s="35"/>
    </row>
    <row r="181" spans="1:15" x14ac:dyDescent="0.25">
      <c r="A181" s="35"/>
      <c r="B181" s="35"/>
      <c r="C181" s="35"/>
      <c r="D181" s="35"/>
      <c r="E181" s="35"/>
      <c r="F181" s="35"/>
      <c r="G181" s="35"/>
      <c r="H181" s="61"/>
      <c r="I181" s="35"/>
      <c r="J181" s="35"/>
      <c r="K181" s="35"/>
      <c r="L181" s="35"/>
      <c r="M181" s="35"/>
      <c r="N181" s="35"/>
      <c r="O181" s="35"/>
    </row>
    <row r="182" spans="1:15" x14ac:dyDescent="0.25">
      <c r="A182" s="35"/>
      <c r="B182" s="35"/>
      <c r="C182" s="35"/>
      <c r="D182" s="35"/>
      <c r="E182" s="35"/>
      <c r="F182" s="35"/>
      <c r="G182" s="35"/>
      <c r="H182" s="61"/>
      <c r="I182" s="35"/>
      <c r="J182" s="35"/>
      <c r="K182" s="35"/>
      <c r="L182" s="35"/>
      <c r="M182" s="35"/>
      <c r="N182" s="35"/>
      <c r="O182" s="35"/>
    </row>
    <row r="183" spans="1:15" x14ac:dyDescent="0.25">
      <c r="A183" s="35"/>
      <c r="B183" s="35"/>
      <c r="C183" s="35"/>
      <c r="D183" s="35"/>
      <c r="E183" s="35"/>
      <c r="F183" s="35"/>
      <c r="G183" s="35"/>
      <c r="H183" s="61"/>
      <c r="I183" s="35"/>
      <c r="J183" s="35"/>
      <c r="K183" s="35"/>
      <c r="L183" s="35"/>
      <c r="M183" s="35"/>
      <c r="N183" s="35"/>
      <c r="O183" s="35"/>
    </row>
    <row r="184" spans="1:15" x14ac:dyDescent="0.25">
      <c r="A184" s="35"/>
      <c r="B184" s="35"/>
      <c r="C184" s="35"/>
      <c r="D184" s="35"/>
      <c r="E184" s="35"/>
      <c r="F184" s="35"/>
      <c r="G184" s="35"/>
      <c r="H184" s="61"/>
      <c r="I184" s="35"/>
      <c r="J184" s="35"/>
      <c r="K184" s="35"/>
      <c r="L184" s="35"/>
      <c r="M184" s="35"/>
      <c r="N184" s="35"/>
      <c r="O184" s="35"/>
    </row>
    <row r="185" spans="1:15" x14ac:dyDescent="0.25">
      <c r="A185" s="35"/>
      <c r="B185" s="35"/>
      <c r="C185" s="35"/>
      <c r="D185" s="35"/>
      <c r="E185" s="35"/>
      <c r="F185" s="35"/>
      <c r="G185" s="35"/>
      <c r="H185" s="61"/>
      <c r="I185" s="35"/>
      <c r="J185" s="35"/>
      <c r="K185" s="35"/>
      <c r="L185" s="35"/>
      <c r="M185" s="35"/>
      <c r="N185" s="35"/>
      <c r="O185" s="35"/>
    </row>
    <row r="186" spans="1:15" x14ac:dyDescent="0.25">
      <c r="A186" s="35"/>
      <c r="B186" s="35"/>
      <c r="C186" s="35"/>
      <c r="D186" s="35"/>
      <c r="E186" s="35"/>
      <c r="F186" s="35"/>
      <c r="G186" s="35"/>
      <c r="H186" s="61"/>
      <c r="I186" s="35"/>
      <c r="J186" s="35"/>
      <c r="K186" s="35"/>
      <c r="L186" s="35"/>
      <c r="M186" s="35"/>
      <c r="N186" s="35"/>
      <c r="O186" s="35"/>
    </row>
    <row r="187" spans="1:15" x14ac:dyDescent="0.25">
      <c r="A187" s="35"/>
      <c r="B187" s="35"/>
      <c r="C187" s="35"/>
      <c r="D187" s="35"/>
      <c r="E187" s="35"/>
      <c r="F187" s="35"/>
      <c r="G187" s="35"/>
      <c r="H187" s="61"/>
      <c r="I187" s="35"/>
      <c r="J187" s="35"/>
      <c r="K187" s="35"/>
      <c r="L187" s="35"/>
      <c r="M187" s="35"/>
      <c r="N187" s="35"/>
      <c r="O187" s="35"/>
    </row>
    <row r="188" spans="1:15" x14ac:dyDescent="0.25">
      <c r="A188" s="35"/>
      <c r="B188" s="35"/>
      <c r="C188" s="35"/>
      <c r="D188" s="35"/>
      <c r="E188" s="35"/>
      <c r="F188" s="35"/>
      <c r="G188" s="35"/>
      <c r="H188" s="61"/>
      <c r="I188" s="35"/>
      <c r="J188" s="35"/>
      <c r="K188" s="35"/>
      <c r="L188" s="35"/>
      <c r="M188" s="35"/>
      <c r="N188" s="35"/>
      <c r="O188" s="35"/>
    </row>
    <row r="189" spans="1:15" x14ac:dyDescent="0.25">
      <c r="A189" s="35"/>
      <c r="B189" s="35"/>
      <c r="C189" s="35"/>
      <c r="D189" s="35"/>
      <c r="E189" s="35"/>
      <c r="F189" s="35"/>
      <c r="G189" s="35"/>
      <c r="H189" s="61"/>
      <c r="I189" s="35"/>
      <c r="J189" s="35"/>
      <c r="K189" s="35"/>
      <c r="L189" s="35"/>
      <c r="M189" s="35"/>
      <c r="N189" s="35"/>
      <c r="O189" s="35"/>
    </row>
    <row r="190" spans="1:15" x14ac:dyDescent="0.25">
      <c r="A190" s="35"/>
      <c r="B190" s="35"/>
      <c r="C190" s="35"/>
      <c r="D190" s="35"/>
      <c r="E190" s="35"/>
      <c r="F190" s="35"/>
      <c r="G190" s="35"/>
      <c r="H190" s="61"/>
      <c r="I190" s="35"/>
      <c r="J190" s="35"/>
      <c r="K190" s="35"/>
      <c r="L190" s="35"/>
      <c r="M190" s="35"/>
      <c r="N190" s="35"/>
      <c r="O190" s="35"/>
    </row>
    <row r="191" spans="1:15" x14ac:dyDescent="0.25">
      <c r="A191" s="35"/>
      <c r="B191" s="35"/>
      <c r="C191" s="35"/>
      <c r="D191" s="35"/>
      <c r="E191" s="35"/>
      <c r="F191" s="35"/>
      <c r="G191" s="35"/>
      <c r="H191" s="61"/>
      <c r="I191" s="35"/>
      <c r="J191" s="35"/>
      <c r="K191" s="35"/>
      <c r="L191" s="35"/>
      <c r="M191" s="35"/>
      <c r="N191" s="35"/>
      <c r="O191" s="35"/>
    </row>
    <row r="192" spans="1:15" x14ac:dyDescent="0.25">
      <c r="A192" s="35"/>
      <c r="B192" s="35"/>
      <c r="C192" s="35"/>
      <c r="D192" s="35"/>
      <c r="E192" s="35"/>
      <c r="F192" s="35"/>
      <c r="G192" s="35"/>
      <c r="H192" s="61"/>
      <c r="I192" s="35"/>
      <c r="J192" s="35"/>
      <c r="K192" s="35"/>
      <c r="L192" s="35"/>
      <c r="M192" s="35"/>
      <c r="N192" s="35"/>
      <c r="O192" s="35"/>
    </row>
    <row r="193" spans="1:22" x14ac:dyDescent="0.25">
      <c r="A193" s="35"/>
      <c r="B193" s="35"/>
      <c r="C193" s="35"/>
      <c r="D193" s="35"/>
      <c r="E193" s="35"/>
      <c r="F193" s="35"/>
      <c r="G193" s="35"/>
      <c r="H193" s="61"/>
      <c r="I193" s="35"/>
      <c r="J193" s="35"/>
      <c r="K193" s="35"/>
      <c r="L193" s="35"/>
      <c r="M193" s="35"/>
      <c r="N193" s="35"/>
      <c r="O193" s="35"/>
    </row>
    <row r="194" spans="1:22" x14ac:dyDescent="0.25">
      <c r="A194" s="35"/>
      <c r="B194" s="35"/>
      <c r="C194" s="35"/>
      <c r="D194" s="35"/>
      <c r="E194" s="35"/>
      <c r="F194" s="35"/>
      <c r="G194" s="35"/>
      <c r="H194" s="61"/>
      <c r="I194" s="35"/>
      <c r="J194" s="35"/>
      <c r="K194" s="35"/>
      <c r="L194" s="35"/>
      <c r="M194" s="35"/>
      <c r="N194" s="35"/>
      <c r="O194" s="35"/>
    </row>
    <row r="195" spans="1:22" x14ac:dyDescent="0.25">
      <c r="A195" s="35"/>
      <c r="B195" s="35"/>
      <c r="C195" s="35"/>
      <c r="D195" s="35"/>
      <c r="E195" s="35"/>
      <c r="F195" s="35"/>
      <c r="G195" s="35"/>
      <c r="H195" s="61"/>
      <c r="I195" s="35"/>
      <c r="J195" s="35"/>
      <c r="K195" s="35"/>
      <c r="L195" s="35"/>
      <c r="M195" s="35"/>
      <c r="N195" s="35"/>
      <c r="O195" s="35"/>
    </row>
    <row r="196" spans="1:22" x14ac:dyDescent="0.25">
      <c r="A196" s="35"/>
      <c r="B196" s="35"/>
      <c r="C196" s="35"/>
      <c r="D196" s="35"/>
      <c r="E196" s="35"/>
      <c r="F196" s="35"/>
      <c r="G196" s="35"/>
      <c r="H196" s="61"/>
      <c r="I196" s="35"/>
      <c r="J196" s="35"/>
      <c r="K196" s="35"/>
      <c r="L196" s="35"/>
      <c r="M196" s="35"/>
      <c r="N196" s="35"/>
      <c r="O196" s="35"/>
    </row>
    <row r="197" spans="1:22" x14ac:dyDescent="0.25">
      <c r="A197" s="35"/>
      <c r="B197" s="35"/>
      <c r="C197" s="35"/>
      <c r="D197" s="35"/>
      <c r="E197" s="35"/>
      <c r="F197" s="35"/>
      <c r="G197" s="35"/>
      <c r="H197" s="61"/>
      <c r="I197" s="35"/>
      <c r="J197" s="35"/>
      <c r="K197" s="35"/>
      <c r="L197" s="35"/>
      <c r="M197" s="35"/>
      <c r="N197" s="35"/>
      <c r="O197" s="35"/>
    </row>
    <row r="198" spans="1:22" x14ac:dyDescent="0.25">
      <c r="A198" s="35"/>
      <c r="B198" s="35"/>
      <c r="C198" s="35"/>
      <c r="D198" s="35"/>
      <c r="E198" s="35"/>
      <c r="F198" s="35"/>
      <c r="G198" s="35"/>
      <c r="H198" s="61"/>
      <c r="I198" s="35"/>
      <c r="J198" s="35"/>
      <c r="K198" s="35"/>
      <c r="L198" s="35"/>
      <c r="M198" s="35"/>
      <c r="N198" s="35"/>
      <c r="O198" s="35"/>
    </row>
    <row r="199" spans="1:22" x14ac:dyDescent="0.25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</row>
    <row r="200" spans="1:22" x14ac:dyDescent="0.25">
      <c r="A200" s="13"/>
      <c r="B200" s="13"/>
      <c r="C200" s="13"/>
      <c r="D200" s="14"/>
      <c r="E200" s="14"/>
      <c r="F200" s="14"/>
      <c r="G200" s="14"/>
      <c r="H200" s="14"/>
      <c r="I200" s="14"/>
      <c r="J200" s="14"/>
      <c r="K200" s="15"/>
      <c r="L200" s="14"/>
      <c r="M200" s="14"/>
      <c r="N200" s="14"/>
      <c r="O200" s="14"/>
    </row>
    <row r="201" spans="1:22" ht="21.6" customHeight="1" x14ac:dyDescent="0.25">
      <c r="A201" s="338" t="s">
        <v>18</v>
      </c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7"/>
      <c r="N201" s="37"/>
      <c r="O201" s="37"/>
      <c r="Q201" s="1"/>
      <c r="R201" s="2"/>
      <c r="S201" s="1" t="s">
        <v>36</v>
      </c>
      <c r="T201" t="s">
        <v>37</v>
      </c>
    </row>
    <row r="202" spans="1:22" ht="31.8" customHeight="1" x14ac:dyDescent="0.25">
      <c r="A202" s="28">
        <v>1</v>
      </c>
      <c r="B202" s="16" t="s">
        <v>19</v>
      </c>
      <c r="C202" s="29" t="s">
        <v>31</v>
      </c>
      <c r="D202" s="17">
        <v>20829.66</v>
      </c>
      <c r="E202" s="16"/>
      <c r="F202" s="18"/>
      <c r="G202" s="16"/>
      <c r="H202" s="17"/>
      <c r="I202" s="17"/>
      <c r="J202" s="16">
        <v>6</v>
      </c>
      <c r="K202" s="17">
        <f>D202/J202</f>
        <v>3471.61</v>
      </c>
      <c r="L202" s="30">
        <f t="shared" ref="L202" si="28">J202</f>
        <v>6</v>
      </c>
      <c r="M202" s="38"/>
      <c r="N202" s="38"/>
      <c r="O202" s="38"/>
      <c r="Q202" s="1" t="s">
        <v>35</v>
      </c>
      <c r="R202" s="2">
        <v>307171.75429999997</v>
      </c>
      <c r="S202" s="33">
        <f>R202*9%</f>
        <v>27645.457886999997</v>
      </c>
      <c r="T202" s="11">
        <f>R202*8%</f>
        <v>24573.740343999998</v>
      </c>
    </row>
    <row r="203" spans="1:22" ht="31.8" customHeight="1" x14ac:dyDescent="0.25">
      <c r="A203" s="16">
        <v>2</v>
      </c>
      <c r="B203" s="16" t="s">
        <v>20</v>
      </c>
      <c r="C203" s="29" t="s">
        <v>31</v>
      </c>
      <c r="D203" s="17">
        <v>14532.41</v>
      </c>
      <c r="E203" s="16">
        <f>(3.5+3)/2</f>
        <v>3.25</v>
      </c>
      <c r="F203" s="18">
        <v>0.9</v>
      </c>
      <c r="G203" s="16">
        <f t="shared" ref="G203:G213" si="29">E203*F203</f>
        <v>2.9250000000000003</v>
      </c>
      <c r="H203" s="17">
        <f t="shared" ref="H203:H213" si="30">D203*G203</f>
        <v>42507.299250000004</v>
      </c>
      <c r="I203" s="17"/>
      <c r="J203" s="16">
        <v>4</v>
      </c>
      <c r="K203" s="17">
        <f>D203/J203</f>
        <v>3633.1025</v>
      </c>
      <c r="L203" s="30">
        <f t="shared" ref="L203:L213" si="31">J203</f>
        <v>4</v>
      </c>
      <c r="M203" s="38"/>
      <c r="N203" s="38"/>
      <c r="O203" s="38"/>
      <c r="Q203" s="1"/>
      <c r="R203" s="2">
        <v>183982.86</v>
      </c>
      <c r="S203" s="33">
        <f>R203*9%</f>
        <v>16558.457399999999</v>
      </c>
    </row>
    <row r="204" spans="1:22" ht="31.8" customHeight="1" x14ac:dyDescent="0.25">
      <c r="A204" s="16">
        <v>3</v>
      </c>
      <c r="B204" s="16" t="s">
        <v>21</v>
      </c>
      <c r="C204" s="29" t="s">
        <v>33</v>
      </c>
      <c r="D204" s="17">
        <v>11806.03</v>
      </c>
      <c r="E204" s="16">
        <f>(3.5+3)/2</f>
        <v>3.25</v>
      </c>
      <c r="F204" s="18">
        <v>0.9</v>
      </c>
      <c r="G204" s="16">
        <f t="shared" si="29"/>
        <v>2.9250000000000003</v>
      </c>
      <c r="H204" s="17">
        <f t="shared" si="30"/>
        <v>34532.637750000002</v>
      </c>
      <c r="I204" s="17"/>
      <c r="J204" s="16">
        <v>3</v>
      </c>
      <c r="K204" s="17">
        <f>D204/J204</f>
        <v>3935.3433333333337</v>
      </c>
      <c r="L204" s="30">
        <f t="shared" si="31"/>
        <v>3</v>
      </c>
      <c r="M204" s="38"/>
      <c r="N204" s="38"/>
      <c r="O204" s="38"/>
      <c r="Q204" s="1"/>
      <c r="R204" s="1"/>
    </row>
    <row r="205" spans="1:22" ht="31.8" customHeight="1" x14ac:dyDescent="0.25">
      <c r="A205" s="16">
        <v>4</v>
      </c>
      <c r="B205" s="16" t="s">
        <v>22</v>
      </c>
      <c r="C205" s="16" t="s">
        <v>34</v>
      </c>
      <c r="D205" s="17">
        <v>9682.2999999999993</v>
      </c>
      <c r="E205" s="16">
        <f>(3.5+3)/2</f>
        <v>3.25</v>
      </c>
      <c r="F205" s="18">
        <v>0.9</v>
      </c>
      <c r="G205" s="16">
        <f t="shared" si="29"/>
        <v>2.9250000000000003</v>
      </c>
      <c r="H205" s="17">
        <f t="shared" si="30"/>
        <v>28320.727500000001</v>
      </c>
      <c r="I205" s="17"/>
      <c r="J205" s="16"/>
      <c r="K205" s="17"/>
      <c r="L205" s="30"/>
      <c r="M205" s="38"/>
      <c r="N205" s="38"/>
      <c r="O205" s="38"/>
      <c r="Q205" s="1"/>
      <c r="R205" s="1"/>
      <c r="S205">
        <f>183000*9%</f>
        <v>16470</v>
      </c>
      <c r="V205">
        <f>120/4</f>
        <v>30</v>
      </c>
    </row>
    <row r="206" spans="1:22" ht="31.8" customHeight="1" x14ac:dyDescent="0.25">
      <c r="A206" s="16">
        <v>5</v>
      </c>
      <c r="B206" s="16" t="s">
        <v>23</v>
      </c>
      <c r="C206" s="16" t="s">
        <v>32</v>
      </c>
      <c r="D206" s="17">
        <v>11219.42</v>
      </c>
      <c r="E206" s="16">
        <f>(4+3.5)/2</f>
        <v>3.75</v>
      </c>
      <c r="F206" s="18">
        <v>0.9</v>
      </c>
      <c r="G206" s="16">
        <f t="shared" si="29"/>
        <v>3.375</v>
      </c>
      <c r="H206" s="17">
        <f t="shared" si="30"/>
        <v>37865.542500000003</v>
      </c>
      <c r="I206" s="17"/>
      <c r="J206" s="16">
        <v>3</v>
      </c>
      <c r="K206" s="17">
        <f>D206/J206</f>
        <v>3739.8066666666668</v>
      </c>
      <c r="L206" s="30">
        <f t="shared" si="31"/>
        <v>3</v>
      </c>
      <c r="M206" s="38"/>
      <c r="N206" s="38"/>
      <c r="O206" s="38"/>
      <c r="Q206" s="1"/>
      <c r="R206" s="1"/>
    </row>
    <row r="207" spans="1:22" ht="31.8" customHeight="1" x14ac:dyDescent="0.25">
      <c r="A207" s="16">
        <v>6</v>
      </c>
      <c r="B207" s="16" t="s">
        <v>24</v>
      </c>
      <c r="C207" s="16" t="s">
        <v>17</v>
      </c>
      <c r="D207" s="17">
        <v>11207.55</v>
      </c>
      <c r="E207" s="16">
        <v>1.5</v>
      </c>
      <c r="F207" s="18">
        <v>1</v>
      </c>
      <c r="G207" s="16">
        <f t="shared" si="29"/>
        <v>1.5</v>
      </c>
      <c r="H207" s="17">
        <f t="shared" si="30"/>
        <v>16811.324999999997</v>
      </c>
      <c r="I207" s="17"/>
      <c r="J207" s="16"/>
      <c r="K207" s="17"/>
      <c r="L207" s="30"/>
      <c r="M207" s="38"/>
      <c r="N207" s="38"/>
      <c r="O207" s="38"/>
      <c r="P207" t="s">
        <v>157</v>
      </c>
      <c r="Q207" s="1"/>
      <c r="R207" s="1"/>
    </row>
    <row r="208" spans="1:22" ht="31.8" customHeight="1" x14ac:dyDescent="0.25">
      <c r="A208" s="16">
        <v>7</v>
      </c>
      <c r="B208" s="16" t="s">
        <v>25</v>
      </c>
      <c r="C208" s="16" t="s">
        <v>32</v>
      </c>
      <c r="D208" s="17">
        <v>10692</v>
      </c>
      <c r="E208" s="16">
        <f>(4+3)/2</f>
        <v>3.5</v>
      </c>
      <c r="F208" s="18">
        <v>0.9</v>
      </c>
      <c r="G208" s="16">
        <f t="shared" si="29"/>
        <v>3.15</v>
      </c>
      <c r="H208" s="17">
        <f t="shared" si="30"/>
        <v>33679.799999999996</v>
      </c>
      <c r="I208" s="17"/>
      <c r="J208" s="16">
        <v>3</v>
      </c>
      <c r="K208" s="17">
        <f t="shared" ref="K208:K213" si="32">D208/J208</f>
        <v>3564</v>
      </c>
      <c r="L208" s="30">
        <f t="shared" si="31"/>
        <v>3</v>
      </c>
      <c r="M208" s="38"/>
      <c r="N208" s="38"/>
      <c r="O208" s="38"/>
      <c r="Q208" s="1"/>
      <c r="R208" s="1"/>
    </row>
    <row r="209" spans="1:20" ht="31.8" customHeight="1" x14ac:dyDescent="0.25">
      <c r="A209" s="16">
        <v>8</v>
      </c>
      <c r="B209" s="16" t="s">
        <v>26</v>
      </c>
      <c r="C209" s="29" t="s">
        <v>33</v>
      </c>
      <c r="D209" s="17">
        <v>13146.54</v>
      </c>
      <c r="E209" s="16">
        <v>3</v>
      </c>
      <c r="F209" s="18">
        <v>0.9</v>
      </c>
      <c r="G209" s="16">
        <f t="shared" si="29"/>
        <v>2.7</v>
      </c>
      <c r="H209" s="17">
        <f t="shared" si="30"/>
        <v>35495.658000000003</v>
      </c>
      <c r="I209" s="17"/>
      <c r="J209" s="16">
        <v>4</v>
      </c>
      <c r="K209" s="17">
        <f t="shared" si="32"/>
        <v>3286.6350000000002</v>
      </c>
      <c r="L209" s="30">
        <f t="shared" si="31"/>
        <v>4</v>
      </c>
      <c r="M209" s="38"/>
      <c r="N209" s="38"/>
      <c r="O209" s="38"/>
      <c r="Q209" s="1"/>
      <c r="R209" s="1"/>
    </row>
    <row r="210" spans="1:20" ht="31.8" customHeight="1" x14ac:dyDescent="0.25">
      <c r="A210" s="16">
        <v>9</v>
      </c>
      <c r="B210" s="16" t="s">
        <v>27</v>
      </c>
      <c r="C210" s="16" t="s">
        <v>32</v>
      </c>
      <c r="D210" s="17">
        <v>12930.63</v>
      </c>
      <c r="E210" s="16">
        <f>(3.5+3)/2</f>
        <v>3.25</v>
      </c>
      <c r="F210" s="18">
        <v>0.9</v>
      </c>
      <c r="G210" s="16">
        <f t="shared" si="29"/>
        <v>2.9250000000000003</v>
      </c>
      <c r="H210" s="17">
        <f t="shared" si="30"/>
        <v>37822.092750000003</v>
      </c>
      <c r="I210" s="17"/>
      <c r="J210" s="16">
        <v>4</v>
      </c>
      <c r="K210" s="17">
        <f t="shared" si="32"/>
        <v>3232.6574999999998</v>
      </c>
      <c r="L210" s="30">
        <f t="shared" si="31"/>
        <v>4</v>
      </c>
      <c r="M210" s="38"/>
      <c r="N210" s="38"/>
      <c r="O210" s="38"/>
      <c r="Q210" s="1"/>
      <c r="R210" s="1"/>
    </row>
    <row r="211" spans="1:20" ht="31.8" customHeight="1" x14ac:dyDescent="0.25">
      <c r="A211" s="16">
        <v>10</v>
      </c>
      <c r="B211" s="16" t="s">
        <v>28</v>
      </c>
      <c r="C211" s="29" t="s">
        <v>31</v>
      </c>
      <c r="D211" s="17">
        <v>14416.96</v>
      </c>
      <c r="E211" s="16">
        <v>3</v>
      </c>
      <c r="F211" s="18">
        <v>0.9</v>
      </c>
      <c r="G211" s="16">
        <f t="shared" si="29"/>
        <v>2.7</v>
      </c>
      <c r="H211" s="17">
        <f t="shared" si="30"/>
        <v>38925.792000000001</v>
      </c>
      <c r="I211" s="17"/>
      <c r="J211" s="16">
        <v>4</v>
      </c>
      <c r="K211" s="17">
        <f t="shared" si="32"/>
        <v>3604.24</v>
      </c>
      <c r="L211" s="30">
        <f t="shared" si="31"/>
        <v>4</v>
      </c>
      <c r="M211" s="38"/>
      <c r="N211" s="38"/>
      <c r="O211" s="38"/>
      <c r="Q211" s="1"/>
      <c r="R211" s="1"/>
    </row>
    <row r="212" spans="1:20" ht="31.8" customHeight="1" x14ac:dyDescent="0.25">
      <c r="A212" s="16">
        <v>11</v>
      </c>
      <c r="B212" s="16" t="s">
        <v>29</v>
      </c>
      <c r="C212" s="16" t="s">
        <v>32</v>
      </c>
      <c r="D212" s="17">
        <v>15094.99</v>
      </c>
      <c r="E212" s="16">
        <f>(3.5+3)/2</f>
        <v>3.25</v>
      </c>
      <c r="F212" s="18">
        <v>0.9</v>
      </c>
      <c r="G212" s="16">
        <f t="shared" si="29"/>
        <v>2.9250000000000003</v>
      </c>
      <c r="H212" s="17">
        <f t="shared" si="30"/>
        <v>44152.84575</v>
      </c>
      <c r="I212" s="17"/>
      <c r="J212" s="16">
        <v>4</v>
      </c>
      <c r="K212" s="17">
        <f t="shared" si="32"/>
        <v>3773.7474999999999</v>
      </c>
      <c r="L212" s="30">
        <f t="shared" si="31"/>
        <v>4</v>
      </c>
      <c r="M212" s="38"/>
      <c r="N212" s="38"/>
      <c r="O212" s="38"/>
      <c r="Q212" s="1"/>
      <c r="R212" s="1"/>
    </row>
    <row r="213" spans="1:20" ht="31.8" customHeight="1" x14ac:dyDescent="0.25">
      <c r="A213" s="16">
        <v>12</v>
      </c>
      <c r="B213" s="16" t="s">
        <v>30</v>
      </c>
      <c r="C213" s="16" t="s">
        <v>32</v>
      </c>
      <c r="D213" s="17">
        <v>13789.27</v>
      </c>
      <c r="E213" s="16">
        <v>4</v>
      </c>
      <c r="F213" s="18">
        <v>0.9</v>
      </c>
      <c r="G213" s="16">
        <f t="shared" si="29"/>
        <v>3.6</v>
      </c>
      <c r="H213" s="17">
        <f t="shared" si="30"/>
        <v>49641.372000000003</v>
      </c>
      <c r="I213" s="17"/>
      <c r="J213" s="16">
        <v>4</v>
      </c>
      <c r="K213" s="17">
        <f t="shared" si="32"/>
        <v>3447.3175000000001</v>
      </c>
      <c r="L213" s="30">
        <f t="shared" si="31"/>
        <v>4</v>
      </c>
      <c r="M213" s="38"/>
      <c r="N213" s="38"/>
      <c r="O213" s="38"/>
      <c r="Q213" s="1"/>
      <c r="R213" s="1"/>
    </row>
    <row r="214" spans="1:20" ht="31.8" customHeight="1" x14ac:dyDescent="0.25">
      <c r="A214" s="20"/>
      <c r="B214" s="21"/>
      <c r="C214" s="22"/>
      <c r="D214" s="23"/>
      <c r="E214" s="20"/>
      <c r="F214" s="24"/>
      <c r="G214" s="20"/>
      <c r="H214" s="20"/>
      <c r="I214" s="20"/>
      <c r="J214" s="20"/>
      <c r="K214" s="23"/>
      <c r="L214" s="31">
        <f>SUM(L202:L213)</f>
        <v>39</v>
      </c>
      <c r="M214" s="39"/>
      <c r="N214" s="39"/>
      <c r="O214" s="39"/>
      <c r="Q214" s="1">
        <f>17</f>
        <v>17</v>
      </c>
      <c r="R214" s="1"/>
      <c r="T214">
        <f>39-22</f>
        <v>17</v>
      </c>
    </row>
    <row r="215" spans="1:20" ht="31.8" customHeight="1" x14ac:dyDescent="0.25">
      <c r="A215" s="25"/>
      <c r="B215" s="26"/>
      <c r="C215" s="26"/>
      <c r="D215" s="26"/>
      <c r="E215" s="26"/>
      <c r="F215" s="26"/>
      <c r="G215" s="26"/>
      <c r="H215" s="26"/>
      <c r="I215" s="26"/>
      <c r="J215" s="26"/>
      <c r="K215" s="27"/>
      <c r="L215" s="32"/>
      <c r="M215" s="38"/>
      <c r="N215" s="38"/>
      <c r="O215" s="38"/>
      <c r="Q215" s="89">
        <f>6000/0.55</f>
        <v>10909.090909090908</v>
      </c>
    </row>
    <row r="216" spans="1:20" x14ac:dyDescent="0.25">
      <c r="A216" s="13"/>
      <c r="B216" s="14"/>
      <c r="C216" s="14"/>
      <c r="D216" s="14"/>
      <c r="E216" s="14"/>
      <c r="F216" s="14"/>
      <c r="G216" s="14"/>
      <c r="H216" s="14"/>
      <c r="I216" s="14"/>
      <c r="J216" s="14"/>
      <c r="K216" s="15"/>
      <c r="L216" s="14"/>
      <c r="M216" s="14"/>
      <c r="N216" s="14"/>
      <c r="O216" s="14"/>
    </row>
    <row r="217" spans="1:20" x14ac:dyDescent="0.25">
      <c r="B217" s="336" t="s">
        <v>61</v>
      </c>
      <c r="C217" s="336"/>
      <c r="D217" s="336"/>
      <c r="E217" s="336"/>
      <c r="F217" s="336"/>
      <c r="G217" s="336"/>
      <c r="H217" s="336"/>
      <c r="I217" s="336"/>
      <c r="J217" s="336"/>
      <c r="K217" s="336"/>
      <c r="L217" s="336"/>
      <c r="M217" s="34"/>
      <c r="N217" s="34"/>
      <c r="O217" s="34"/>
    </row>
    <row r="222" spans="1:20" x14ac:dyDescent="0.25">
      <c r="A222" t="s">
        <v>38</v>
      </c>
    </row>
    <row r="223" spans="1:20" x14ac:dyDescent="0.25">
      <c r="B223" t="s">
        <v>39</v>
      </c>
    </row>
    <row r="224" spans="1:20" x14ac:dyDescent="0.25">
      <c r="B224" t="s">
        <v>40</v>
      </c>
    </row>
  </sheetData>
  <mergeCells count="17">
    <mergeCell ref="A130:K130"/>
    <mergeCell ref="A124:K124"/>
    <mergeCell ref="A152:K152"/>
    <mergeCell ref="A156:K156"/>
    <mergeCell ref="B217:L217"/>
    <mergeCell ref="J5:K5"/>
    <mergeCell ref="A201:L201"/>
    <mergeCell ref="A5:A6"/>
    <mergeCell ref="A41:K41"/>
    <mergeCell ref="A57:K57"/>
    <mergeCell ref="L5:O5"/>
    <mergeCell ref="H5:I5"/>
    <mergeCell ref="E5:G5"/>
    <mergeCell ref="B5:D5"/>
    <mergeCell ref="A76:K76"/>
    <mergeCell ref="A104:K104"/>
    <mergeCell ref="A72:K72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B9A1-021B-4784-BFFC-B9DBBB83BF8A}">
  <sheetPr>
    <tabColor rgb="FF00B050"/>
  </sheetPr>
  <dimension ref="A1:BK365"/>
  <sheetViews>
    <sheetView showGridLines="0" showZeros="0" topLeftCell="A8" workbookViewId="0">
      <pane ySplit="2" topLeftCell="A10" activePane="bottomLeft" state="frozenSplit"/>
      <selection activeCell="A8" sqref="A8"/>
      <selection pane="bottomLeft" activeCell="AE340" sqref="AE340"/>
    </sheetView>
  </sheetViews>
  <sheetFormatPr defaultColWidth="8.19921875" defaultRowHeight="13.8" outlineLevelRow="1" x14ac:dyDescent="0.25"/>
  <cols>
    <col min="1" max="1" width="8.59765625" customWidth="1"/>
    <col min="2" max="2" width="15.5" customWidth="1"/>
    <col min="3" max="3" width="14.5" customWidth="1"/>
    <col min="4" max="5" width="10.296875" customWidth="1"/>
    <col min="6" max="6" width="15" customWidth="1"/>
    <col min="7" max="7" width="11.09765625" customWidth="1"/>
    <col min="8" max="8" width="17.5" customWidth="1"/>
    <col min="9" max="9" width="14.69921875" customWidth="1"/>
    <col min="10" max="11" width="7.796875" customWidth="1"/>
    <col min="12" max="33" width="12.09765625" customWidth="1"/>
    <col min="34" max="35" width="12.69921875" bestFit="1" customWidth="1"/>
    <col min="36" max="60" width="12.69921875" customWidth="1"/>
    <col min="61" max="61" width="14.09765625" customWidth="1"/>
    <col min="63" max="63" width="10.69921875" bestFit="1" customWidth="1"/>
  </cols>
  <sheetData>
    <row r="1" spans="1:63" s="100" customFormat="1" ht="10.5" customHeight="1" x14ac:dyDescent="0.25">
      <c r="A1" s="97"/>
      <c r="B1" s="97"/>
      <c r="C1" s="97"/>
      <c r="D1" s="97"/>
      <c r="E1" s="97"/>
      <c r="F1" s="97"/>
      <c r="G1" s="97"/>
      <c r="H1" s="97"/>
      <c r="I1" s="97"/>
      <c r="J1" s="98"/>
      <c r="K1" s="98"/>
      <c r="L1" s="98"/>
      <c r="M1" s="98"/>
      <c r="N1" s="98"/>
      <c r="O1" s="98"/>
      <c r="P1" s="99"/>
      <c r="Q1" s="99"/>
      <c r="R1" s="99"/>
      <c r="S1" s="99"/>
    </row>
    <row r="2" spans="1:63" s="13" customFormat="1" ht="31.2" customHeight="1" x14ac:dyDescent="0.25">
      <c r="A2" s="101" t="s">
        <v>161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3"/>
    </row>
    <row r="3" spans="1:63" s="13" customFormat="1" ht="17.399999999999999" x14ac:dyDescent="0.25">
      <c r="A3" s="104" t="s">
        <v>162</v>
      </c>
      <c r="B3" s="105" t="s">
        <v>173</v>
      </c>
      <c r="C3" s="105"/>
      <c r="D3" s="105"/>
      <c r="E3" s="105"/>
      <c r="F3" s="105"/>
      <c r="G3" s="105"/>
      <c r="H3" s="105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7"/>
    </row>
    <row r="4" spans="1:63" s="13" customFormat="1" ht="17.399999999999999" x14ac:dyDescent="0.25">
      <c r="A4" s="104" t="s">
        <v>163</v>
      </c>
      <c r="B4" s="105" t="s">
        <v>172</v>
      </c>
      <c r="C4" s="108"/>
      <c r="D4" s="108"/>
      <c r="E4" s="108"/>
      <c r="F4" s="108"/>
      <c r="G4" s="108"/>
      <c r="H4" s="108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7"/>
    </row>
    <row r="5" spans="1:63" s="13" customFormat="1" ht="17.399999999999999" x14ac:dyDescent="0.25">
      <c r="A5" s="104" t="s">
        <v>164</v>
      </c>
      <c r="B5" s="109">
        <v>45968</v>
      </c>
      <c r="C5" s="109"/>
      <c r="D5" s="109"/>
      <c r="E5" s="109"/>
      <c r="F5" s="109"/>
      <c r="G5" s="109"/>
      <c r="H5" s="109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10"/>
    </row>
    <row r="6" spans="1:63" s="13" customFormat="1" ht="17.399999999999999" x14ac:dyDescent="0.25">
      <c r="A6" s="104" t="s">
        <v>165</v>
      </c>
      <c r="B6" s="105" t="s">
        <v>174</v>
      </c>
      <c r="C6" s="105"/>
      <c r="D6" s="105"/>
      <c r="E6" s="105"/>
      <c r="F6" s="105"/>
      <c r="G6" s="105"/>
      <c r="H6" s="105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10"/>
    </row>
    <row r="7" spans="1:63" s="13" customFormat="1" ht="6" customHeight="1" x14ac:dyDescent="0.25">
      <c r="A7" s="104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</row>
    <row r="8" spans="1:63" s="111" customFormat="1" ht="13.8" customHeight="1" x14ac:dyDescent="0.25">
      <c r="A8" s="396" t="s">
        <v>166</v>
      </c>
      <c r="B8" s="397"/>
      <c r="C8" s="394" t="s">
        <v>207</v>
      </c>
      <c r="D8" s="394" t="s">
        <v>206</v>
      </c>
      <c r="E8" s="391" t="str">
        <f>Empreendimentos!H5</f>
        <v>ÁREAS</v>
      </c>
      <c r="F8" s="392"/>
      <c r="G8" s="393"/>
      <c r="H8" s="402" t="s">
        <v>175</v>
      </c>
      <c r="I8" s="403"/>
      <c r="J8" s="400" t="s">
        <v>167</v>
      </c>
      <c r="K8" s="401"/>
      <c r="L8" s="151" t="s">
        <v>178</v>
      </c>
      <c r="M8" s="151" t="s">
        <v>179</v>
      </c>
      <c r="N8" s="151" t="s">
        <v>180</v>
      </c>
      <c r="O8" s="151" t="s">
        <v>181</v>
      </c>
      <c r="P8" s="151" t="s">
        <v>182</v>
      </c>
      <c r="Q8" s="151" t="s">
        <v>183</v>
      </c>
      <c r="R8" s="151" t="s">
        <v>184</v>
      </c>
      <c r="S8" s="151" t="s">
        <v>185</v>
      </c>
      <c r="T8" s="151" t="s">
        <v>186</v>
      </c>
      <c r="U8" s="151" t="s">
        <v>187</v>
      </c>
      <c r="V8" s="151" t="s">
        <v>188</v>
      </c>
      <c r="W8" s="151" t="s">
        <v>189</v>
      </c>
      <c r="X8" s="151" t="s">
        <v>190</v>
      </c>
      <c r="Y8" s="151" t="s">
        <v>191</v>
      </c>
      <c r="Z8" s="151" t="s">
        <v>192</v>
      </c>
      <c r="AA8" s="151" t="s">
        <v>193</v>
      </c>
      <c r="AB8" s="151" t="s">
        <v>194</v>
      </c>
      <c r="AC8" s="151" t="s">
        <v>195</v>
      </c>
      <c r="AD8" s="151" t="s">
        <v>196</v>
      </c>
      <c r="AE8" s="151" t="s">
        <v>197</v>
      </c>
      <c r="AF8" s="151" t="s">
        <v>198</v>
      </c>
      <c r="AG8" s="151" t="s">
        <v>199</v>
      </c>
      <c r="AH8" s="151" t="s">
        <v>200</v>
      </c>
      <c r="AI8" s="151" t="s">
        <v>201</v>
      </c>
      <c r="AJ8" s="151" t="s">
        <v>202</v>
      </c>
      <c r="AK8" s="151" t="s">
        <v>263</v>
      </c>
      <c r="AL8" s="226">
        <v>27</v>
      </c>
      <c r="AM8" s="226">
        <v>28</v>
      </c>
      <c r="AN8" s="226">
        <v>29</v>
      </c>
      <c r="AO8" s="226">
        <v>30</v>
      </c>
      <c r="AP8" s="226">
        <v>31</v>
      </c>
      <c r="AQ8" s="226">
        <v>32</v>
      </c>
      <c r="AR8" s="226">
        <v>33</v>
      </c>
      <c r="AS8" s="226">
        <v>34</v>
      </c>
      <c r="AT8" s="226">
        <v>35</v>
      </c>
      <c r="AU8" s="226">
        <v>36</v>
      </c>
      <c r="AV8" s="226">
        <v>37</v>
      </c>
      <c r="AW8" s="226">
        <v>38</v>
      </c>
      <c r="AX8" s="226">
        <v>39</v>
      </c>
      <c r="AY8" s="226">
        <v>40</v>
      </c>
      <c r="AZ8" s="226">
        <v>41</v>
      </c>
      <c r="BA8" s="226">
        <v>42</v>
      </c>
      <c r="BB8" s="226">
        <v>43</v>
      </c>
      <c r="BC8" s="226">
        <v>44</v>
      </c>
      <c r="BD8" s="226">
        <v>45</v>
      </c>
      <c r="BE8" s="226">
        <v>46</v>
      </c>
      <c r="BF8" s="226">
        <v>47</v>
      </c>
      <c r="BG8" s="226">
        <v>48</v>
      </c>
      <c r="BH8" s="226">
        <v>49</v>
      </c>
      <c r="BI8" s="151" t="s">
        <v>264</v>
      </c>
    </row>
    <row r="9" spans="1:63" s="111" customFormat="1" ht="13.8" customHeight="1" x14ac:dyDescent="0.25">
      <c r="A9" s="398"/>
      <c r="B9" s="399"/>
      <c r="C9" s="395"/>
      <c r="D9" s="395"/>
      <c r="E9" s="150" t="s">
        <v>51</v>
      </c>
      <c r="F9" s="150" t="str">
        <f>Empreendimentos!H6</f>
        <v>privativa</v>
      </c>
      <c r="G9" s="150" t="str">
        <f>Empreendimentos!I6</f>
        <v>construída</v>
      </c>
      <c r="H9" s="150" t="s">
        <v>176</v>
      </c>
      <c r="I9" s="150" t="s">
        <v>177</v>
      </c>
      <c r="J9" s="199" t="str">
        <f>H9</f>
        <v>VGV</v>
      </c>
      <c r="K9" s="199" t="str">
        <f>I9</f>
        <v>OBRA</v>
      </c>
      <c r="L9" s="152">
        <v>2026</v>
      </c>
      <c r="M9" s="152">
        <v>2027</v>
      </c>
      <c r="N9" s="152">
        <v>2028</v>
      </c>
      <c r="O9" s="152">
        <v>2029</v>
      </c>
      <c r="P9" s="152">
        <v>2030</v>
      </c>
      <c r="Q9" s="152">
        <v>2031</v>
      </c>
      <c r="R9" s="152">
        <v>2032</v>
      </c>
      <c r="S9" s="152">
        <v>2033</v>
      </c>
      <c r="T9" s="152">
        <v>2034</v>
      </c>
      <c r="U9" s="152">
        <v>2035</v>
      </c>
      <c r="V9" s="152">
        <v>2036</v>
      </c>
      <c r="W9" s="152">
        <v>2037</v>
      </c>
      <c r="X9" s="152">
        <v>2038</v>
      </c>
      <c r="Y9" s="152">
        <v>2039</v>
      </c>
      <c r="Z9" s="152">
        <v>2040</v>
      </c>
      <c r="AA9" s="152">
        <v>2041</v>
      </c>
      <c r="AB9" s="152">
        <v>2042</v>
      </c>
      <c r="AC9" s="152">
        <v>2043</v>
      </c>
      <c r="AD9" s="152">
        <v>2044</v>
      </c>
      <c r="AE9" s="152">
        <v>2045</v>
      </c>
      <c r="AF9" s="152">
        <v>2046</v>
      </c>
      <c r="AG9" s="152">
        <v>2047</v>
      </c>
      <c r="AH9" s="152">
        <v>2048</v>
      </c>
      <c r="AI9" s="152">
        <v>2049</v>
      </c>
      <c r="AJ9" s="152">
        <v>2050</v>
      </c>
      <c r="AK9" s="152">
        <v>2051</v>
      </c>
      <c r="AL9" s="152">
        <v>2052</v>
      </c>
      <c r="AM9" s="152">
        <v>2053</v>
      </c>
      <c r="AN9" s="152">
        <v>2054</v>
      </c>
      <c r="AO9" s="152">
        <v>2055</v>
      </c>
      <c r="AP9" s="152">
        <v>2056</v>
      </c>
      <c r="AQ9" s="152">
        <v>2057</v>
      </c>
      <c r="AR9" s="152">
        <v>2058</v>
      </c>
      <c r="AS9" s="152">
        <v>2059</v>
      </c>
      <c r="AT9" s="152">
        <v>2060</v>
      </c>
      <c r="AU9" s="152">
        <v>2061</v>
      </c>
      <c r="AV9" s="152">
        <v>2062</v>
      </c>
      <c r="AW9" s="152">
        <v>2063</v>
      </c>
      <c r="AX9" s="152">
        <v>2064</v>
      </c>
      <c r="AY9" s="152">
        <v>2065</v>
      </c>
      <c r="AZ9" s="152">
        <v>2066</v>
      </c>
      <c r="BA9" s="152">
        <v>2067</v>
      </c>
      <c r="BB9" s="152">
        <v>2068</v>
      </c>
      <c r="BC9" s="152">
        <v>2069</v>
      </c>
      <c r="BD9" s="152">
        <v>2070</v>
      </c>
      <c r="BE9" s="152">
        <v>2071</v>
      </c>
      <c r="BF9" s="152">
        <v>2072</v>
      </c>
      <c r="BG9" s="152">
        <v>2073</v>
      </c>
      <c r="BH9" s="152">
        <v>2074</v>
      </c>
      <c r="BI9" s="152">
        <v>2075</v>
      </c>
    </row>
    <row r="10" spans="1:63" s="100" customFormat="1" ht="10.5" customHeight="1" x14ac:dyDescent="0.25">
      <c r="A10" s="112"/>
      <c r="B10" s="97"/>
      <c r="C10" s="97"/>
      <c r="D10" s="97"/>
      <c r="E10" s="97"/>
      <c r="F10" s="97"/>
      <c r="G10" s="97"/>
      <c r="H10" s="97"/>
      <c r="I10" s="97"/>
      <c r="J10" s="98"/>
      <c r="K10" s="98"/>
      <c r="L10" s="98"/>
      <c r="M10" s="98"/>
      <c r="N10" s="98"/>
      <c r="O10" s="98"/>
      <c r="P10" s="99"/>
      <c r="Q10" s="99"/>
      <c r="R10" s="99"/>
      <c r="S10" s="99"/>
      <c r="BI10" s="113"/>
    </row>
    <row r="11" spans="1:63" s="47" customFormat="1" ht="21.75" customHeight="1" x14ac:dyDescent="0.25">
      <c r="A11" s="155" t="s">
        <v>43</v>
      </c>
      <c r="B11" s="203" t="str">
        <f>Empreendimentos!A8</f>
        <v>AL'DORA TOWN - VERSAILLES</v>
      </c>
      <c r="C11" s="156"/>
      <c r="D11" s="214">
        <f>Empreendimentos!L8</f>
        <v>14</v>
      </c>
      <c r="E11" s="157"/>
      <c r="F11" s="216">
        <f>Empreendimentos!H8</f>
        <v>125684.39600000001</v>
      </c>
      <c r="G11" s="216">
        <f>Empreendimentos!I8</f>
        <v>206039.99344262297</v>
      </c>
      <c r="H11" s="213">
        <f>SUM(H12,H35,H37,H39)</f>
        <v>1116394988</v>
      </c>
      <c r="I11" s="213">
        <f>SUM(I12,I35,I37,I39)</f>
        <v>615838385.54746771</v>
      </c>
      <c r="J11" s="198">
        <f>H11/$H$42</f>
        <v>1</v>
      </c>
      <c r="K11" s="198">
        <f>I11/$I$47</f>
        <v>1</v>
      </c>
      <c r="L11" s="158"/>
      <c r="M11" s="159"/>
      <c r="N11" s="159"/>
      <c r="O11" s="159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B11" s="161"/>
      <c r="BC11" s="161"/>
      <c r="BD11" s="161"/>
      <c r="BE11" s="161"/>
      <c r="BF11" s="161"/>
      <c r="BG11" s="161"/>
      <c r="BH11" s="161"/>
      <c r="BI11" s="162"/>
      <c r="BJ11" s="119">
        <f t="shared" ref="BJ11:BJ39" si="0">SUM(L11:BI11)</f>
        <v>0</v>
      </c>
      <c r="BK11" s="33"/>
    </row>
    <row r="12" spans="1:63" ht="21.75" customHeight="1" x14ac:dyDescent="0.25">
      <c r="A12" s="193" t="str">
        <f>Empreendimentos!B9</f>
        <v>QC01</v>
      </c>
      <c r="B12" s="154" t="str">
        <f>Empreendimentos!C9</f>
        <v>Resid. Multifamiliar</v>
      </c>
      <c r="C12" s="170" t="s">
        <v>231</v>
      </c>
      <c r="D12" s="188">
        <f>Empreendimentos!L9</f>
        <v>6</v>
      </c>
      <c r="E12" s="189">
        <f>Empreendimentos!M9</f>
        <v>75.84807294832828</v>
      </c>
      <c r="F12" s="190">
        <f>Empreendimentos!H9</f>
        <v>49908.032000000007</v>
      </c>
      <c r="G12" s="190">
        <f>Empreendimentos!I9</f>
        <v>81816.445901639352</v>
      </c>
      <c r="H12" s="192">
        <f>SUM(H13:H33)</f>
        <v>434407712.00000006</v>
      </c>
      <c r="I12" s="192">
        <f>SUM(I13:I33)</f>
        <v>239696094.31518245</v>
      </c>
      <c r="J12" s="205">
        <f>H12/$H$42</f>
        <v>0.38911650147967169</v>
      </c>
      <c r="K12" s="205">
        <f>I12/$I$47</f>
        <v>0.38921915220029285</v>
      </c>
      <c r="L12" s="114"/>
      <c r="M12" s="115"/>
      <c r="N12" s="115"/>
      <c r="O12" s="115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8"/>
      <c r="BJ12" s="119">
        <f t="shared" si="0"/>
        <v>0</v>
      </c>
      <c r="BK12" s="11"/>
    </row>
    <row r="13" spans="1:63" ht="21.75" customHeight="1" outlineLevel="1" x14ac:dyDescent="0.25">
      <c r="A13" s="120" t="str">
        <f>Empreendimentos!B10</f>
        <v>LT01</v>
      </c>
      <c r="B13" s="121" t="str">
        <f>Empreendimentos!C10</f>
        <v>Resid. Multifamiliar</v>
      </c>
      <c r="C13" s="174" t="str">
        <f>$C$338</f>
        <v xml:space="preserve">Standart Plus </v>
      </c>
      <c r="D13" s="148">
        <f>Empreendimentos!L10</f>
        <v>1</v>
      </c>
      <c r="E13" s="173">
        <f>Empreendimentos!M10</f>
        <v>56.553098039215698</v>
      </c>
      <c r="F13" s="149">
        <f>Empreendimentos!H10</f>
        <v>5768.4160000000011</v>
      </c>
      <c r="G13" s="149">
        <f>Empreendimentos!I10</f>
        <v>9456.4196721311491</v>
      </c>
      <c r="H13" s="179">
        <f t="shared" ref="H13:H33" si="1">F13*VLOOKUP(C13,$C$337:$E$344,2,FALSE)</f>
        <v>46147328.000000007</v>
      </c>
      <c r="I13" s="180">
        <f t="shared" ref="I13:I33" si="2">G13*VLOOKUP(C13,$C$337:$E$344,3,FALSE)</f>
        <v>26556296.979541775</v>
      </c>
      <c r="J13" s="204">
        <f t="shared" ref="J13:J37" si="3">H13/$H$42</f>
        <v>4.1336022192890752E-2</v>
      </c>
      <c r="K13" s="204">
        <f t="shared" ref="K13:K38" si="4">I13/$I$47</f>
        <v>4.31221853050517E-2</v>
      </c>
      <c r="L13" s="123">
        <v>0.02</v>
      </c>
      <c r="M13" s="124">
        <v>0.03</v>
      </c>
      <c r="N13" s="124">
        <v>0.04</v>
      </c>
      <c r="O13" s="124">
        <v>0.06</v>
      </c>
      <c r="P13" s="125">
        <v>7.0000000000000007E-2</v>
      </c>
      <c r="Q13" s="125">
        <v>0.08</v>
      </c>
      <c r="R13" s="125">
        <v>0.1</v>
      </c>
      <c r="S13" s="125">
        <v>0.1</v>
      </c>
      <c r="T13" s="125">
        <v>0.11</v>
      </c>
      <c r="U13" s="125">
        <v>0.1</v>
      </c>
      <c r="V13" s="125">
        <v>0.1</v>
      </c>
      <c r="W13" s="125">
        <v>0.08</v>
      </c>
      <c r="X13" s="125">
        <v>0.06</v>
      </c>
      <c r="Y13" s="125">
        <v>0.04</v>
      </c>
      <c r="Z13" s="125">
        <v>0.01</v>
      </c>
      <c r="AA13" s="125"/>
      <c r="AB13" s="125"/>
      <c r="AC13" s="125"/>
      <c r="AD13" s="125"/>
      <c r="AE13" s="125"/>
      <c r="AF13" s="125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6"/>
      <c r="BD13" s="126"/>
      <c r="BE13" s="126"/>
      <c r="BF13" s="126"/>
      <c r="BG13" s="126"/>
      <c r="BH13" s="126"/>
      <c r="BI13" s="127"/>
      <c r="BJ13" s="119">
        <f t="shared" si="0"/>
        <v>1</v>
      </c>
    </row>
    <row r="14" spans="1:63" ht="21.75" customHeight="1" outlineLevel="1" x14ac:dyDescent="0.25">
      <c r="A14" s="120" t="str">
        <f>Empreendimentos!B11</f>
        <v>LT02</v>
      </c>
      <c r="B14" s="121" t="str">
        <f>Empreendimentos!C11</f>
        <v>Resid. Multifamiliar</v>
      </c>
      <c r="C14" s="174" t="str">
        <f>$C$338</f>
        <v xml:space="preserve">Standart Plus </v>
      </c>
      <c r="D14" s="148">
        <f>Empreendimentos!L11</f>
        <v>1</v>
      </c>
      <c r="E14" s="173">
        <f>Empreendimentos!M11</f>
        <v>64.353333333333339</v>
      </c>
      <c r="F14" s="149">
        <f>Empreendimentos!H11</f>
        <v>7722.4000000000005</v>
      </c>
      <c r="G14" s="149">
        <f>Empreendimentos!I11</f>
        <v>12659.672131147543</v>
      </c>
      <c r="H14" s="179">
        <f t="shared" si="1"/>
        <v>61779200.000000007</v>
      </c>
      <c r="I14" s="180">
        <f t="shared" si="2"/>
        <v>35551934.498970494</v>
      </c>
      <c r="J14" s="204">
        <f t="shared" si="3"/>
        <v>5.5338120167196601E-2</v>
      </c>
      <c r="K14" s="204">
        <f t="shared" si="4"/>
        <v>5.7729325312136155E-2</v>
      </c>
      <c r="L14" s="123">
        <v>0.02</v>
      </c>
      <c r="M14" s="124">
        <v>0.03</v>
      </c>
      <c r="N14" s="124">
        <v>0.04</v>
      </c>
      <c r="O14" s="124">
        <v>0.06</v>
      </c>
      <c r="P14" s="125">
        <v>7.0000000000000007E-2</v>
      </c>
      <c r="Q14" s="125">
        <v>0.08</v>
      </c>
      <c r="R14" s="125">
        <v>0.1</v>
      </c>
      <c r="S14" s="125">
        <v>0.1</v>
      </c>
      <c r="T14" s="125">
        <v>0.11</v>
      </c>
      <c r="U14" s="125">
        <v>0.1</v>
      </c>
      <c r="V14" s="125">
        <v>0.1</v>
      </c>
      <c r="W14" s="125">
        <v>0.08</v>
      </c>
      <c r="X14" s="125">
        <v>0.06</v>
      </c>
      <c r="Y14" s="125">
        <v>0.04</v>
      </c>
      <c r="Z14" s="125">
        <v>0.01</v>
      </c>
      <c r="AA14" s="125"/>
      <c r="AB14" s="125"/>
      <c r="AC14" s="125"/>
      <c r="AD14" s="125"/>
      <c r="AE14" s="125"/>
      <c r="AF14" s="125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6"/>
      <c r="BD14" s="126"/>
      <c r="BE14" s="126"/>
      <c r="BF14" s="126"/>
      <c r="BG14" s="126"/>
      <c r="BH14" s="126"/>
      <c r="BI14" s="127"/>
      <c r="BJ14" s="119">
        <f t="shared" si="0"/>
        <v>1</v>
      </c>
    </row>
    <row r="15" spans="1:63" ht="21.75" customHeight="1" outlineLevel="1" x14ac:dyDescent="0.25">
      <c r="A15" s="120" t="str">
        <f>Empreendimentos!B12</f>
        <v>LT03</v>
      </c>
      <c r="B15" s="121" t="str">
        <f>Empreendimentos!C12</f>
        <v>Lote misto - Venda</v>
      </c>
      <c r="C15" s="174" t="str">
        <f t="shared" ref="C15:C21" si="5">$C$343</f>
        <v>Lote aberto</v>
      </c>
      <c r="D15" s="148"/>
      <c r="E15" s="173">
        <f>Empreendimentos!M12</f>
        <v>0</v>
      </c>
      <c r="F15" s="149">
        <f>Empreendimentos!D12</f>
        <v>360</v>
      </c>
      <c r="G15" s="149">
        <f>Empreendimentos!I12</f>
        <v>0</v>
      </c>
      <c r="H15" s="179">
        <f t="shared" si="1"/>
        <v>432000</v>
      </c>
      <c r="I15" s="180">
        <f t="shared" si="2"/>
        <v>0</v>
      </c>
      <c r="J15" s="204">
        <f t="shared" si="3"/>
        <v>3.8695981677051383E-4</v>
      </c>
      <c r="K15" s="204">
        <f t="shared" si="4"/>
        <v>0</v>
      </c>
      <c r="L15" s="123">
        <v>1</v>
      </c>
      <c r="M15" s="124"/>
      <c r="N15" s="124"/>
      <c r="O15" s="124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7"/>
      <c r="BJ15" s="119">
        <f t="shared" si="0"/>
        <v>1</v>
      </c>
    </row>
    <row r="16" spans="1:63" ht="21.75" customHeight="1" outlineLevel="1" x14ac:dyDescent="0.25">
      <c r="A16" s="120" t="str">
        <f>Empreendimentos!B13</f>
        <v>LT04</v>
      </c>
      <c r="B16" s="121" t="str">
        <f>Empreendimentos!C13</f>
        <v>Lote misto - Venda</v>
      </c>
      <c r="C16" s="174" t="str">
        <f t="shared" si="5"/>
        <v>Lote aberto</v>
      </c>
      <c r="D16" s="148"/>
      <c r="E16" s="173">
        <f>Empreendimentos!M13</f>
        <v>0</v>
      </c>
      <c r="F16" s="149">
        <f>Empreendimentos!D13</f>
        <v>360</v>
      </c>
      <c r="G16" s="149">
        <f>Empreendimentos!I13</f>
        <v>0</v>
      </c>
      <c r="H16" s="179">
        <f t="shared" si="1"/>
        <v>432000</v>
      </c>
      <c r="I16" s="180">
        <f t="shared" si="2"/>
        <v>0</v>
      </c>
      <c r="J16" s="204">
        <f t="shared" si="3"/>
        <v>3.8695981677051383E-4</v>
      </c>
      <c r="K16" s="204">
        <f t="shared" si="4"/>
        <v>0</v>
      </c>
      <c r="L16" s="123">
        <v>1</v>
      </c>
      <c r="M16" s="124"/>
      <c r="N16" s="124"/>
      <c r="O16" s="124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6"/>
      <c r="BH16" s="126"/>
      <c r="BI16" s="127"/>
      <c r="BJ16" s="119">
        <f t="shared" si="0"/>
        <v>1</v>
      </c>
    </row>
    <row r="17" spans="1:62" ht="21.75" customHeight="1" outlineLevel="1" x14ac:dyDescent="0.25">
      <c r="A17" s="120" t="str">
        <f>Empreendimentos!B14</f>
        <v>LT05</v>
      </c>
      <c r="B17" s="121" t="str">
        <f>Empreendimentos!C14</f>
        <v>Lote misto - Venda</v>
      </c>
      <c r="C17" s="174" t="str">
        <f t="shared" si="5"/>
        <v>Lote aberto</v>
      </c>
      <c r="D17" s="148"/>
      <c r="E17" s="173">
        <f>Empreendimentos!M14</f>
        <v>0</v>
      </c>
      <c r="F17" s="149">
        <f>Empreendimentos!D14</f>
        <v>360</v>
      </c>
      <c r="G17" s="149">
        <f>Empreendimentos!I14</f>
        <v>0</v>
      </c>
      <c r="H17" s="179">
        <f t="shared" si="1"/>
        <v>432000</v>
      </c>
      <c r="I17" s="180">
        <f t="shared" si="2"/>
        <v>0</v>
      </c>
      <c r="J17" s="204">
        <f t="shared" si="3"/>
        <v>3.8695981677051383E-4</v>
      </c>
      <c r="K17" s="204">
        <f t="shared" si="4"/>
        <v>0</v>
      </c>
      <c r="L17" s="123">
        <v>1</v>
      </c>
      <c r="M17" s="124"/>
      <c r="N17" s="124"/>
      <c r="O17" s="124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7"/>
      <c r="BJ17" s="119">
        <f t="shared" si="0"/>
        <v>1</v>
      </c>
    </row>
    <row r="18" spans="1:62" ht="21.75" customHeight="1" outlineLevel="1" x14ac:dyDescent="0.25">
      <c r="A18" s="120" t="str">
        <f>Empreendimentos!B15</f>
        <v>LT06</v>
      </c>
      <c r="B18" s="121" t="str">
        <f>Empreendimentos!C15</f>
        <v>Lote misto - Venda</v>
      </c>
      <c r="C18" s="174" t="str">
        <f t="shared" si="5"/>
        <v>Lote aberto</v>
      </c>
      <c r="D18" s="148"/>
      <c r="E18" s="173">
        <f>Empreendimentos!M15</f>
        <v>0</v>
      </c>
      <c r="F18" s="149">
        <f>Empreendimentos!D15</f>
        <v>360</v>
      </c>
      <c r="G18" s="149">
        <f>Empreendimentos!I15</f>
        <v>0</v>
      </c>
      <c r="H18" s="179">
        <f t="shared" si="1"/>
        <v>432000</v>
      </c>
      <c r="I18" s="180">
        <f t="shared" si="2"/>
        <v>0</v>
      </c>
      <c r="J18" s="204">
        <f t="shared" si="3"/>
        <v>3.8695981677051383E-4</v>
      </c>
      <c r="K18" s="204">
        <f t="shared" si="4"/>
        <v>0</v>
      </c>
      <c r="L18" s="123">
        <v>1</v>
      </c>
      <c r="M18" s="124"/>
      <c r="N18" s="124"/>
      <c r="O18" s="124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7"/>
      <c r="BJ18" s="119">
        <f t="shared" si="0"/>
        <v>1</v>
      </c>
    </row>
    <row r="19" spans="1:62" ht="21.75" customHeight="1" outlineLevel="1" x14ac:dyDescent="0.25">
      <c r="A19" s="120" t="str">
        <f>Empreendimentos!B16</f>
        <v>LT07</v>
      </c>
      <c r="B19" s="121" t="str">
        <f>Empreendimentos!C16</f>
        <v>Lote misto - Venda</v>
      </c>
      <c r="C19" s="174" t="str">
        <f t="shared" si="5"/>
        <v>Lote aberto</v>
      </c>
      <c r="D19" s="148"/>
      <c r="E19" s="173">
        <f>Empreendimentos!M16</f>
        <v>0</v>
      </c>
      <c r="F19" s="149">
        <f>Empreendimentos!D16</f>
        <v>360</v>
      </c>
      <c r="G19" s="149">
        <f>Empreendimentos!I16</f>
        <v>0</v>
      </c>
      <c r="H19" s="179">
        <f t="shared" si="1"/>
        <v>432000</v>
      </c>
      <c r="I19" s="180">
        <f t="shared" si="2"/>
        <v>0</v>
      </c>
      <c r="J19" s="204">
        <f t="shared" si="3"/>
        <v>3.8695981677051383E-4</v>
      </c>
      <c r="K19" s="204">
        <f t="shared" si="4"/>
        <v>0</v>
      </c>
      <c r="L19" s="123">
        <v>1</v>
      </c>
      <c r="M19" s="124"/>
      <c r="N19" s="124"/>
      <c r="O19" s="124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  <c r="BE19" s="126"/>
      <c r="BF19" s="126"/>
      <c r="BG19" s="126"/>
      <c r="BH19" s="126"/>
      <c r="BI19" s="127"/>
      <c r="BJ19" s="119">
        <f t="shared" si="0"/>
        <v>1</v>
      </c>
    </row>
    <row r="20" spans="1:62" ht="21.75" customHeight="1" outlineLevel="1" x14ac:dyDescent="0.25">
      <c r="A20" s="120" t="str">
        <f>Empreendimentos!B17</f>
        <v>LT08</v>
      </c>
      <c r="B20" s="121" t="str">
        <f>Empreendimentos!C17</f>
        <v>Lote misto - Venda</v>
      </c>
      <c r="C20" s="174" t="str">
        <f t="shared" si="5"/>
        <v>Lote aberto</v>
      </c>
      <c r="D20" s="148"/>
      <c r="E20" s="173">
        <f>Empreendimentos!M17</f>
        <v>0</v>
      </c>
      <c r="F20" s="149">
        <f>Empreendimentos!D17</f>
        <v>360</v>
      </c>
      <c r="G20" s="149">
        <f>Empreendimentos!I17</f>
        <v>0</v>
      </c>
      <c r="H20" s="179">
        <f t="shared" si="1"/>
        <v>432000</v>
      </c>
      <c r="I20" s="180">
        <f t="shared" si="2"/>
        <v>0</v>
      </c>
      <c r="J20" s="204">
        <f t="shared" si="3"/>
        <v>3.8695981677051383E-4</v>
      </c>
      <c r="K20" s="204">
        <f t="shared" si="4"/>
        <v>0</v>
      </c>
      <c r="L20" s="123">
        <v>1</v>
      </c>
      <c r="M20" s="124"/>
      <c r="N20" s="124"/>
      <c r="O20" s="124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6"/>
      <c r="BD20" s="126"/>
      <c r="BE20" s="126"/>
      <c r="BF20" s="126"/>
      <c r="BG20" s="126"/>
      <c r="BH20" s="126"/>
      <c r="BI20" s="127"/>
      <c r="BJ20" s="119">
        <f t="shared" si="0"/>
        <v>1</v>
      </c>
    </row>
    <row r="21" spans="1:62" ht="21.75" customHeight="1" outlineLevel="1" x14ac:dyDescent="0.25">
      <c r="A21" s="120" t="str">
        <f>Empreendimentos!B18</f>
        <v>LT09</v>
      </c>
      <c r="B21" s="121" t="str">
        <f>Empreendimentos!C18</f>
        <v>Lote misto - Venda</v>
      </c>
      <c r="C21" s="174" t="str">
        <f t="shared" si="5"/>
        <v>Lote aberto</v>
      </c>
      <c r="D21" s="148"/>
      <c r="E21" s="173">
        <f>Empreendimentos!M18</f>
        <v>0</v>
      </c>
      <c r="F21" s="149">
        <f>Empreendimentos!D18</f>
        <v>360</v>
      </c>
      <c r="G21" s="149">
        <f>Empreendimentos!I18</f>
        <v>0</v>
      </c>
      <c r="H21" s="179">
        <f t="shared" si="1"/>
        <v>432000</v>
      </c>
      <c r="I21" s="180">
        <f t="shared" si="2"/>
        <v>0</v>
      </c>
      <c r="J21" s="204">
        <f t="shared" si="3"/>
        <v>3.8695981677051383E-4</v>
      </c>
      <c r="K21" s="204">
        <f t="shared" si="4"/>
        <v>0</v>
      </c>
      <c r="L21" s="123">
        <v>1</v>
      </c>
      <c r="M21" s="124"/>
      <c r="N21" s="124"/>
      <c r="O21" s="124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7"/>
      <c r="BJ21" s="119">
        <f t="shared" si="0"/>
        <v>1</v>
      </c>
    </row>
    <row r="22" spans="1:62" ht="21.75" customHeight="1" outlineLevel="1" x14ac:dyDescent="0.25">
      <c r="A22" s="120" t="str">
        <f>Empreendimentos!B19</f>
        <v>LT10</v>
      </c>
      <c r="B22" s="121" t="str">
        <f>Empreendimentos!C19</f>
        <v>Resid. Multifamiliar</v>
      </c>
      <c r="C22" s="174" t="str">
        <f>$C$338</f>
        <v xml:space="preserve">Standart Plus </v>
      </c>
      <c r="D22" s="148">
        <f>Empreendimentos!L19</f>
        <v>1</v>
      </c>
      <c r="E22" s="173">
        <f>Empreendimentos!M19</f>
        <v>64.614666666666679</v>
      </c>
      <c r="F22" s="149">
        <f>Empreendimentos!H19</f>
        <v>7753.7600000000011</v>
      </c>
      <c r="G22" s="149">
        <f>Empreendimentos!I19</f>
        <v>12711.081967213117</v>
      </c>
      <c r="H22" s="179">
        <f t="shared" si="1"/>
        <v>62030080.000000007</v>
      </c>
      <c r="I22" s="180">
        <f t="shared" si="2"/>
        <v>35696307.837037385</v>
      </c>
      <c r="J22" s="204">
        <f t="shared" si="3"/>
        <v>5.556284349782481E-2</v>
      </c>
      <c r="K22" s="204">
        <f t="shared" si="4"/>
        <v>5.7963759120510321E-2</v>
      </c>
      <c r="L22" s="123">
        <v>0.02</v>
      </c>
      <c r="M22" s="124">
        <v>0.03</v>
      </c>
      <c r="N22" s="124">
        <v>0.04</v>
      </c>
      <c r="O22" s="124">
        <v>0.06</v>
      </c>
      <c r="P22" s="125">
        <v>7.0000000000000007E-2</v>
      </c>
      <c r="Q22" s="125">
        <v>0.08</v>
      </c>
      <c r="R22" s="125">
        <v>0.1</v>
      </c>
      <c r="S22" s="125">
        <v>0.1</v>
      </c>
      <c r="T22" s="125">
        <v>0.11</v>
      </c>
      <c r="U22" s="125">
        <v>0.1</v>
      </c>
      <c r="V22" s="125">
        <v>0.1</v>
      </c>
      <c r="W22" s="125">
        <v>0.08</v>
      </c>
      <c r="X22" s="125">
        <v>0.06</v>
      </c>
      <c r="Y22" s="125">
        <v>0.04</v>
      </c>
      <c r="Z22" s="125">
        <v>0.01</v>
      </c>
      <c r="AA22" s="125"/>
      <c r="AB22" s="125"/>
      <c r="AC22" s="125"/>
      <c r="AD22" s="125"/>
      <c r="AE22" s="125"/>
      <c r="AF22" s="125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7"/>
      <c r="BJ22" s="119">
        <f t="shared" si="0"/>
        <v>1</v>
      </c>
    </row>
    <row r="23" spans="1:62" ht="21.75" customHeight="1" outlineLevel="1" x14ac:dyDescent="0.25">
      <c r="A23" s="120" t="str">
        <f>Empreendimentos!B20</f>
        <v>LT11</v>
      </c>
      <c r="B23" s="121" t="str">
        <f>Empreendimentos!C20</f>
        <v>Resid. Multifamiliar</v>
      </c>
      <c r="C23" s="174" t="str">
        <f>$C$339</f>
        <v>Médio</v>
      </c>
      <c r="D23" s="148">
        <f>Empreendimentos!L20</f>
        <v>1</v>
      </c>
      <c r="E23" s="173">
        <f>Empreendimentos!M20</f>
        <v>70.741333333333344</v>
      </c>
      <c r="F23" s="149">
        <f>Empreendimentos!H20</f>
        <v>8488.9600000000009</v>
      </c>
      <c r="G23" s="149">
        <f>Empreendimentos!I20</f>
        <v>13916.327868852461</v>
      </c>
      <c r="H23" s="179">
        <f t="shared" si="1"/>
        <v>76400640.000000015</v>
      </c>
      <c r="I23" s="180">
        <f t="shared" si="2"/>
        <v>42022557.737967208</v>
      </c>
      <c r="J23" s="204">
        <f t="shared" si="3"/>
        <v>6.8435133461921288E-2</v>
      </c>
      <c r="K23" s="204">
        <f t="shared" si="4"/>
        <v>6.8236340449304753E-2</v>
      </c>
      <c r="L23" s="123">
        <v>0.02</v>
      </c>
      <c r="M23" s="124">
        <v>0.03</v>
      </c>
      <c r="N23" s="124">
        <v>0.04</v>
      </c>
      <c r="O23" s="124">
        <v>0.06</v>
      </c>
      <c r="P23" s="125">
        <v>7.0000000000000007E-2</v>
      </c>
      <c r="Q23" s="125">
        <v>0.08</v>
      </c>
      <c r="R23" s="125">
        <v>0.1</v>
      </c>
      <c r="S23" s="125">
        <v>0.1</v>
      </c>
      <c r="T23" s="125">
        <v>0.11</v>
      </c>
      <c r="U23" s="125">
        <v>0.1</v>
      </c>
      <c r="V23" s="125">
        <v>0.1</v>
      </c>
      <c r="W23" s="125">
        <v>0.08</v>
      </c>
      <c r="X23" s="125">
        <v>0.06</v>
      </c>
      <c r="Y23" s="125">
        <v>0.04</v>
      </c>
      <c r="Z23" s="125">
        <v>0.01</v>
      </c>
      <c r="AA23" s="125"/>
      <c r="AB23" s="125"/>
      <c r="AC23" s="125"/>
      <c r="AD23" s="125"/>
      <c r="AE23" s="125"/>
      <c r="AF23" s="125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  <c r="BE23" s="126"/>
      <c r="BF23" s="126"/>
      <c r="BG23" s="126"/>
      <c r="BH23" s="126"/>
      <c r="BI23" s="127"/>
      <c r="BJ23" s="119">
        <f t="shared" si="0"/>
        <v>1</v>
      </c>
    </row>
    <row r="24" spans="1:62" ht="21.75" customHeight="1" outlineLevel="1" x14ac:dyDescent="0.25">
      <c r="A24" s="120" t="str">
        <f>Empreendimentos!B21</f>
        <v>LT12</v>
      </c>
      <c r="B24" s="121" t="str">
        <f>Empreendimentos!C21</f>
        <v>Lote misto - Venda</v>
      </c>
      <c r="C24" s="174" t="str">
        <f t="shared" ref="C24:C31" si="6">$C$343</f>
        <v>Lote aberto</v>
      </c>
      <c r="D24" s="148">
        <f>Empreendimentos!L21</f>
        <v>0</v>
      </c>
      <c r="E24" s="173">
        <f>Empreendimentos!M21</f>
        <v>0</v>
      </c>
      <c r="F24" s="149">
        <f>Empreendimentos!D21</f>
        <v>360</v>
      </c>
      <c r="G24" s="149">
        <f>Empreendimentos!I21</f>
        <v>0</v>
      </c>
      <c r="H24" s="179">
        <f t="shared" si="1"/>
        <v>432000</v>
      </c>
      <c r="I24" s="180">
        <f t="shared" si="2"/>
        <v>0</v>
      </c>
      <c r="J24" s="204">
        <f t="shared" si="3"/>
        <v>3.8695981677051383E-4</v>
      </c>
      <c r="K24" s="204">
        <f t="shared" si="4"/>
        <v>0</v>
      </c>
      <c r="L24" s="123">
        <v>1</v>
      </c>
      <c r="M24" s="124"/>
      <c r="N24" s="124"/>
      <c r="O24" s="124"/>
      <c r="P24" s="125"/>
      <c r="Q24" s="125"/>
      <c r="R24" s="125"/>
      <c r="S24" s="125"/>
      <c r="T24" s="125"/>
      <c r="U24" s="125"/>
      <c r="V24" s="125"/>
      <c r="W24" s="125"/>
      <c r="X24" s="126"/>
      <c r="Y24" s="125"/>
      <c r="Z24" s="125"/>
      <c r="AA24" s="125"/>
      <c r="AB24" s="125"/>
      <c r="AC24" s="125"/>
      <c r="AD24" s="125"/>
      <c r="AE24" s="125"/>
      <c r="AF24" s="125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6"/>
      <c r="BD24" s="126"/>
      <c r="BE24" s="126"/>
      <c r="BF24" s="126"/>
      <c r="BG24" s="126"/>
      <c r="BH24" s="126"/>
      <c r="BI24" s="127"/>
      <c r="BJ24" s="119">
        <f t="shared" si="0"/>
        <v>1</v>
      </c>
    </row>
    <row r="25" spans="1:62" ht="21.75" customHeight="1" outlineLevel="1" x14ac:dyDescent="0.25">
      <c r="A25" s="120" t="str">
        <f>Empreendimentos!B22</f>
        <v>LT13</v>
      </c>
      <c r="B25" s="121" t="str">
        <f>Empreendimentos!C22</f>
        <v>Lote misto - Venda</v>
      </c>
      <c r="C25" s="174" t="str">
        <f t="shared" si="6"/>
        <v>Lote aberto</v>
      </c>
      <c r="D25" s="148">
        <f>Empreendimentos!L22</f>
        <v>0</v>
      </c>
      <c r="E25" s="173">
        <f>Empreendimentos!M22</f>
        <v>0</v>
      </c>
      <c r="F25" s="149">
        <f>Empreendimentos!D22</f>
        <v>360</v>
      </c>
      <c r="G25" s="149">
        <f>Empreendimentos!I22</f>
        <v>0</v>
      </c>
      <c r="H25" s="179">
        <f t="shared" si="1"/>
        <v>432000</v>
      </c>
      <c r="I25" s="180">
        <f t="shared" si="2"/>
        <v>0</v>
      </c>
      <c r="J25" s="204">
        <f t="shared" si="3"/>
        <v>3.8695981677051383E-4</v>
      </c>
      <c r="K25" s="204">
        <f t="shared" si="4"/>
        <v>0</v>
      </c>
      <c r="L25" s="123">
        <v>1</v>
      </c>
      <c r="M25" s="124"/>
      <c r="N25" s="124"/>
      <c r="O25" s="124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7"/>
      <c r="BJ25" s="119">
        <f t="shared" si="0"/>
        <v>1</v>
      </c>
    </row>
    <row r="26" spans="1:62" ht="21.75" customHeight="1" outlineLevel="1" x14ac:dyDescent="0.25">
      <c r="A26" s="120" t="str">
        <f>Empreendimentos!B23</f>
        <v>LT14</v>
      </c>
      <c r="B26" s="121" t="str">
        <f>Empreendimentos!C23</f>
        <v>Lote misto - Venda</v>
      </c>
      <c r="C26" s="174" t="str">
        <f t="shared" si="6"/>
        <v>Lote aberto</v>
      </c>
      <c r="D26" s="148">
        <f>Empreendimentos!L23</f>
        <v>0</v>
      </c>
      <c r="E26" s="173">
        <f>Empreendimentos!M23</f>
        <v>0</v>
      </c>
      <c r="F26" s="149">
        <f>Empreendimentos!D23</f>
        <v>360</v>
      </c>
      <c r="G26" s="149">
        <f>Empreendimentos!I23</f>
        <v>0</v>
      </c>
      <c r="H26" s="179">
        <f t="shared" si="1"/>
        <v>432000</v>
      </c>
      <c r="I26" s="180">
        <f t="shared" si="2"/>
        <v>0</v>
      </c>
      <c r="J26" s="204">
        <f t="shared" si="3"/>
        <v>3.8695981677051383E-4</v>
      </c>
      <c r="K26" s="204">
        <f t="shared" si="4"/>
        <v>0</v>
      </c>
      <c r="L26" s="123">
        <v>1</v>
      </c>
      <c r="M26" s="124"/>
      <c r="N26" s="124"/>
      <c r="O26" s="124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6"/>
      <c r="BD26" s="126"/>
      <c r="BE26" s="126"/>
      <c r="BF26" s="126"/>
      <c r="BG26" s="126"/>
      <c r="BH26" s="126"/>
      <c r="BI26" s="127"/>
      <c r="BJ26" s="119">
        <f t="shared" si="0"/>
        <v>1</v>
      </c>
    </row>
    <row r="27" spans="1:62" ht="21.75" customHeight="1" outlineLevel="1" x14ac:dyDescent="0.25">
      <c r="A27" s="120" t="str">
        <f>Empreendimentos!B24</f>
        <v>LT15</v>
      </c>
      <c r="B27" s="121" t="str">
        <f>Empreendimentos!C24</f>
        <v>Lote misto - Venda</v>
      </c>
      <c r="C27" s="174" t="str">
        <f t="shared" si="6"/>
        <v>Lote aberto</v>
      </c>
      <c r="D27" s="148">
        <f>Empreendimentos!L24</f>
        <v>0</v>
      </c>
      <c r="E27" s="173">
        <f>Empreendimentos!M24</f>
        <v>0</v>
      </c>
      <c r="F27" s="149">
        <f>Empreendimentos!D24</f>
        <v>360</v>
      </c>
      <c r="G27" s="149">
        <f>Empreendimentos!I24</f>
        <v>0</v>
      </c>
      <c r="H27" s="179">
        <f t="shared" si="1"/>
        <v>432000</v>
      </c>
      <c r="I27" s="180">
        <f t="shared" si="2"/>
        <v>0</v>
      </c>
      <c r="J27" s="204">
        <f t="shared" si="3"/>
        <v>3.8695981677051383E-4</v>
      </c>
      <c r="K27" s="204">
        <f t="shared" si="4"/>
        <v>0</v>
      </c>
      <c r="L27" s="123">
        <v>1</v>
      </c>
      <c r="M27" s="124"/>
      <c r="N27" s="124"/>
      <c r="O27" s="124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7"/>
      <c r="BJ27" s="119">
        <f t="shared" si="0"/>
        <v>1</v>
      </c>
    </row>
    <row r="28" spans="1:62" ht="21.75" customHeight="1" outlineLevel="1" x14ac:dyDescent="0.25">
      <c r="A28" s="120" t="str">
        <f>Empreendimentos!B25</f>
        <v>LT16</v>
      </c>
      <c r="B28" s="121" t="str">
        <f>Empreendimentos!C25</f>
        <v>Lote misto - Venda</v>
      </c>
      <c r="C28" s="174" t="str">
        <f t="shared" si="6"/>
        <v>Lote aberto</v>
      </c>
      <c r="D28" s="148">
        <f>Empreendimentos!L25</f>
        <v>0</v>
      </c>
      <c r="E28" s="173">
        <f>Empreendimentos!M25</f>
        <v>0</v>
      </c>
      <c r="F28" s="149">
        <f>Empreendimentos!D25</f>
        <v>360</v>
      </c>
      <c r="G28" s="149">
        <f>Empreendimentos!I25</f>
        <v>0</v>
      </c>
      <c r="H28" s="179">
        <f t="shared" si="1"/>
        <v>432000</v>
      </c>
      <c r="I28" s="180">
        <f t="shared" si="2"/>
        <v>0</v>
      </c>
      <c r="J28" s="204">
        <f t="shared" si="3"/>
        <v>3.8695981677051383E-4</v>
      </c>
      <c r="K28" s="204">
        <f t="shared" si="4"/>
        <v>0</v>
      </c>
      <c r="L28" s="123">
        <v>1</v>
      </c>
      <c r="M28" s="124"/>
      <c r="N28" s="124"/>
      <c r="O28" s="124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7"/>
      <c r="BJ28" s="119">
        <f t="shared" si="0"/>
        <v>1</v>
      </c>
    </row>
    <row r="29" spans="1:62" ht="21.75" customHeight="1" outlineLevel="1" x14ac:dyDescent="0.25">
      <c r="A29" s="120" t="str">
        <f>Empreendimentos!B26</f>
        <v>LT17</v>
      </c>
      <c r="B29" s="121" t="str">
        <f>Empreendimentos!C26</f>
        <v>Lote misto - Venda</v>
      </c>
      <c r="C29" s="174" t="str">
        <f t="shared" si="6"/>
        <v>Lote aberto</v>
      </c>
      <c r="D29" s="148">
        <f>Empreendimentos!L26</f>
        <v>0</v>
      </c>
      <c r="E29" s="173">
        <f>Empreendimentos!M26</f>
        <v>0</v>
      </c>
      <c r="F29" s="149">
        <f>Empreendimentos!D26</f>
        <v>360</v>
      </c>
      <c r="G29" s="149">
        <f>Empreendimentos!I26</f>
        <v>0</v>
      </c>
      <c r="H29" s="179">
        <f t="shared" si="1"/>
        <v>432000</v>
      </c>
      <c r="I29" s="180">
        <f t="shared" si="2"/>
        <v>0</v>
      </c>
      <c r="J29" s="204">
        <f t="shared" si="3"/>
        <v>3.8695981677051383E-4</v>
      </c>
      <c r="K29" s="204">
        <f t="shared" si="4"/>
        <v>0</v>
      </c>
      <c r="L29" s="123">
        <v>1</v>
      </c>
      <c r="M29" s="124"/>
      <c r="N29" s="124"/>
      <c r="O29" s="124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7"/>
      <c r="BJ29" s="119">
        <f t="shared" si="0"/>
        <v>1</v>
      </c>
    </row>
    <row r="30" spans="1:62" ht="21.75" customHeight="1" outlineLevel="1" x14ac:dyDescent="0.25">
      <c r="A30" s="120" t="str">
        <f>Empreendimentos!B27</f>
        <v>LT18</v>
      </c>
      <c r="B30" s="121" t="str">
        <f>Empreendimentos!C27</f>
        <v>Lote misto - Venda</v>
      </c>
      <c r="C30" s="174" t="str">
        <f t="shared" si="6"/>
        <v>Lote aberto</v>
      </c>
      <c r="D30" s="148">
        <f>Empreendimentos!L27</f>
        <v>0</v>
      </c>
      <c r="E30" s="173">
        <f>Empreendimentos!M27</f>
        <v>0</v>
      </c>
      <c r="F30" s="149">
        <f>Empreendimentos!D27</f>
        <v>360</v>
      </c>
      <c r="G30" s="149">
        <f>Empreendimentos!I27</f>
        <v>0</v>
      </c>
      <c r="H30" s="179">
        <f t="shared" si="1"/>
        <v>432000</v>
      </c>
      <c r="I30" s="180">
        <f t="shared" si="2"/>
        <v>0</v>
      </c>
      <c r="J30" s="204">
        <f t="shared" si="3"/>
        <v>3.8695981677051383E-4</v>
      </c>
      <c r="K30" s="204">
        <f t="shared" si="4"/>
        <v>0</v>
      </c>
      <c r="L30" s="123">
        <v>1</v>
      </c>
      <c r="M30" s="124"/>
      <c r="N30" s="124"/>
      <c r="O30" s="124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7"/>
      <c r="BJ30" s="119">
        <f t="shared" si="0"/>
        <v>1</v>
      </c>
    </row>
    <row r="31" spans="1:62" ht="21.75" customHeight="1" outlineLevel="1" x14ac:dyDescent="0.25">
      <c r="A31" s="120" t="str">
        <f>Empreendimentos!B28</f>
        <v>LT19</v>
      </c>
      <c r="B31" s="121" t="str">
        <f>Empreendimentos!C28</f>
        <v>Lote misto - Venda</v>
      </c>
      <c r="C31" s="174" t="str">
        <f t="shared" si="6"/>
        <v>Lote aberto</v>
      </c>
      <c r="D31" s="148">
        <f>Empreendimentos!L28</f>
        <v>0</v>
      </c>
      <c r="E31" s="173">
        <f>Empreendimentos!M28</f>
        <v>0</v>
      </c>
      <c r="F31" s="149">
        <f>Empreendimentos!D28</f>
        <v>360</v>
      </c>
      <c r="G31" s="149">
        <f>Empreendimentos!I28</f>
        <v>0</v>
      </c>
      <c r="H31" s="179">
        <f t="shared" si="1"/>
        <v>432000</v>
      </c>
      <c r="I31" s="180">
        <f t="shared" si="2"/>
        <v>0</v>
      </c>
      <c r="J31" s="204">
        <f t="shared" si="3"/>
        <v>3.8695981677051383E-4</v>
      </c>
      <c r="K31" s="204">
        <f t="shared" si="4"/>
        <v>0</v>
      </c>
      <c r="L31" s="123">
        <v>1</v>
      </c>
      <c r="M31" s="124"/>
      <c r="N31" s="124"/>
      <c r="O31" s="124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  <c r="BC31" s="126"/>
      <c r="BD31" s="126"/>
      <c r="BE31" s="126"/>
      <c r="BF31" s="126"/>
      <c r="BG31" s="126"/>
      <c r="BH31" s="126"/>
      <c r="BI31" s="127"/>
      <c r="BJ31" s="119">
        <f t="shared" si="0"/>
        <v>1</v>
      </c>
    </row>
    <row r="32" spans="1:62" ht="21.75" customHeight="1" outlineLevel="1" x14ac:dyDescent="0.25">
      <c r="A32" s="120" t="str">
        <f>Empreendimentos!B29</f>
        <v>LT20</v>
      </c>
      <c r="B32" s="121" t="str">
        <f>Empreendimentos!C29</f>
        <v>Resid. Multifamiliar</v>
      </c>
      <c r="C32" s="174" t="str">
        <f>$C$339</f>
        <v>Médio</v>
      </c>
      <c r="D32" s="148">
        <f>Empreendimentos!L29</f>
        <v>1</v>
      </c>
      <c r="E32" s="173">
        <f>Empreendimentos!M29</f>
        <v>87.250560000000007</v>
      </c>
      <c r="F32" s="149">
        <f>Empreendimentos!H29</f>
        <v>8725.0560000000005</v>
      </c>
      <c r="G32" s="149">
        <f>Empreendimentos!I29</f>
        <v>14303.37049180328</v>
      </c>
      <c r="H32" s="179">
        <f t="shared" si="1"/>
        <v>78525504</v>
      </c>
      <c r="I32" s="180">
        <f t="shared" si="2"/>
        <v>43191294.284222946</v>
      </c>
      <c r="J32" s="204">
        <f t="shared" si="3"/>
        <v>7.0338459814009838E-2</v>
      </c>
      <c r="K32" s="204">
        <f t="shared" si="4"/>
        <v>7.0134137945666974E-2</v>
      </c>
      <c r="L32" s="123">
        <v>0.02</v>
      </c>
      <c r="M32" s="124">
        <v>0.03</v>
      </c>
      <c r="N32" s="124">
        <v>0.04</v>
      </c>
      <c r="O32" s="124">
        <v>0.06</v>
      </c>
      <c r="P32" s="125">
        <v>7.0000000000000007E-2</v>
      </c>
      <c r="Q32" s="125">
        <v>0.08</v>
      </c>
      <c r="R32" s="125">
        <v>0.1</v>
      </c>
      <c r="S32" s="125">
        <v>0.1</v>
      </c>
      <c r="T32" s="125">
        <v>0.11</v>
      </c>
      <c r="U32" s="125">
        <v>0.1</v>
      </c>
      <c r="V32" s="125">
        <v>0.1</v>
      </c>
      <c r="W32" s="125">
        <v>0.08</v>
      </c>
      <c r="X32" s="125">
        <v>0.06</v>
      </c>
      <c r="Y32" s="125">
        <v>0.04</v>
      </c>
      <c r="Z32" s="125">
        <v>0.01</v>
      </c>
      <c r="AA32" s="125"/>
      <c r="AB32" s="125"/>
      <c r="AC32" s="125"/>
      <c r="AD32" s="125"/>
      <c r="AE32" s="125"/>
      <c r="AF32" s="125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7"/>
      <c r="BJ32" s="119">
        <f t="shared" si="0"/>
        <v>1</v>
      </c>
    </row>
    <row r="33" spans="1:62" ht="21.75" customHeight="1" outlineLevel="1" x14ac:dyDescent="0.25">
      <c r="A33" s="120" t="str">
        <f>Empreendimentos!B30</f>
        <v>LT21</v>
      </c>
      <c r="B33" s="121" t="str">
        <f>Empreendimentos!C30</f>
        <v>Resid. Multifamiliar com fachada ativa</v>
      </c>
      <c r="C33" s="174" t="str">
        <f>$C$339</f>
        <v>Médio</v>
      </c>
      <c r="D33" s="148">
        <f>Empreendimentos!L30</f>
        <v>1</v>
      </c>
      <c r="E33" s="173">
        <f>Empreendimentos!M30</f>
        <v>119.265</v>
      </c>
      <c r="F33" s="149">
        <f>Empreendimentos!H30</f>
        <v>11449.44</v>
      </c>
      <c r="G33" s="149">
        <f>Empreendimentos!I30</f>
        <v>18769.573770491803</v>
      </c>
      <c r="H33" s="179">
        <f t="shared" si="1"/>
        <v>103044960</v>
      </c>
      <c r="I33" s="180">
        <f t="shared" si="2"/>
        <v>56677702.977442615</v>
      </c>
      <c r="J33" s="204">
        <f t="shared" si="3"/>
        <v>9.230152509427067E-2</v>
      </c>
      <c r="K33" s="204">
        <f t="shared" si="4"/>
        <v>9.2033404067622865E-2</v>
      </c>
      <c r="L33" s="123">
        <v>0.02</v>
      </c>
      <c r="M33" s="124">
        <v>0.03</v>
      </c>
      <c r="N33" s="124">
        <v>0.04</v>
      </c>
      <c r="O33" s="124">
        <v>0.06</v>
      </c>
      <c r="P33" s="125">
        <v>7.0000000000000007E-2</v>
      </c>
      <c r="Q33" s="125">
        <v>0.08</v>
      </c>
      <c r="R33" s="125">
        <v>0.1</v>
      </c>
      <c r="S33" s="125">
        <v>0.1</v>
      </c>
      <c r="T33" s="125">
        <v>0.11</v>
      </c>
      <c r="U33" s="125">
        <v>0.1</v>
      </c>
      <c r="V33" s="125">
        <v>0.1</v>
      </c>
      <c r="W33" s="125">
        <v>0.08</v>
      </c>
      <c r="X33" s="125">
        <v>0.06</v>
      </c>
      <c r="Y33" s="125">
        <v>0.04</v>
      </c>
      <c r="Z33" s="125">
        <v>0.01</v>
      </c>
      <c r="AA33" s="125"/>
      <c r="AB33" s="125"/>
      <c r="AC33" s="125"/>
      <c r="AD33" s="125"/>
      <c r="AE33" s="125"/>
      <c r="AF33" s="125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7"/>
      <c r="BJ33" s="119">
        <f t="shared" si="0"/>
        <v>1</v>
      </c>
    </row>
    <row r="34" spans="1:62" ht="7.8" customHeight="1" x14ac:dyDescent="0.25">
      <c r="A34" s="120">
        <f>Empreendimentos!B31</f>
        <v>0</v>
      </c>
      <c r="B34" s="121"/>
      <c r="C34" s="171"/>
      <c r="D34" s="148">
        <f>Empreendimentos!L31</f>
        <v>0</v>
      </c>
      <c r="E34" s="173">
        <f>Empreendimentos!M31</f>
        <v>0</v>
      </c>
      <c r="F34" s="149">
        <f>Empreendimentos!H31</f>
        <v>0</v>
      </c>
      <c r="G34" s="149">
        <f>Empreendimentos!I31</f>
        <v>0</v>
      </c>
      <c r="H34" s="179"/>
      <c r="I34" s="180"/>
      <c r="J34" s="204">
        <f t="shared" si="3"/>
        <v>0</v>
      </c>
      <c r="K34" s="204">
        <f t="shared" si="4"/>
        <v>0</v>
      </c>
      <c r="L34" s="123"/>
      <c r="M34" s="124"/>
      <c r="N34" s="124"/>
      <c r="O34" s="124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6"/>
      <c r="BD34" s="126"/>
      <c r="BE34" s="126"/>
      <c r="BF34" s="126"/>
      <c r="BG34" s="126"/>
      <c r="BH34" s="126"/>
      <c r="BI34" s="127"/>
      <c r="BJ34" s="119">
        <f t="shared" si="0"/>
        <v>0</v>
      </c>
    </row>
    <row r="35" spans="1:62" ht="21.75" customHeight="1" x14ac:dyDescent="0.25">
      <c r="A35" s="186" t="str">
        <f>Empreendimentos!B32</f>
        <v>QC02</v>
      </c>
      <c r="B35" s="187" t="str">
        <f>Empreendimentos!C32</f>
        <v>Resid. Multifamiliar com fachada ativa</v>
      </c>
      <c r="C35" s="197" t="str">
        <f>$C$339</f>
        <v>Médio</v>
      </c>
      <c r="D35" s="188">
        <f>Empreendimentos!L32</f>
        <v>4</v>
      </c>
      <c r="E35" s="189">
        <f>Empreendimentos!M32</f>
        <v>112.06528125</v>
      </c>
      <c r="F35" s="190">
        <f>Empreendimentos!H32</f>
        <v>43033.067999999999</v>
      </c>
      <c r="G35" s="190">
        <f>Empreendimentos!I32</f>
        <v>70546.013114754096</v>
      </c>
      <c r="H35" s="191">
        <f>F35*VLOOKUP(C35,$C$337:$E$344,2,FALSE)</f>
        <v>387297612</v>
      </c>
      <c r="I35" s="192">
        <f>G35*VLOOKUP(C35,$C$337:$E$344,3,FALSE)</f>
        <v>213024868.14307866</v>
      </c>
      <c r="J35" s="205">
        <f t="shared" si="3"/>
        <v>0.34691808559068882</v>
      </c>
      <c r="K35" s="205">
        <f t="shared" si="4"/>
        <v>0.34591034456824887</v>
      </c>
      <c r="L35" s="181">
        <v>0.02</v>
      </c>
      <c r="M35" s="182">
        <v>0.03</v>
      </c>
      <c r="N35" s="182">
        <v>0.04</v>
      </c>
      <c r="O35" s="182">
        <v>0.06</v>
      </c>
      <c r="P35" s="183">
        <v>7.0000000000000007E-2</v>
      </c>
      <c r="Q35" s="183">
        <v>0.08</v>
      </c>
      <c r="R35" s="183">
        <v>0.1</v>
      </c>
      <c r="S35" s="183">
        <v>0.1</v>
      </c>
      <c r="T35" s="183">
        <v>0.11</v>
      </c>
      <c r="U35" s="183">
        <v>0.1</v>
      </c>
      <c r="V35" s="183">
        <v>0.1</v>
      </c>
      <c r="W35" s="183">
        <v>0.08</v>
      </c>
      <c r="X35" s="183">
        <v>0.06</v>
      </c>
      <c r="Y35" s="183">
        <v>0.04</v>
      </c>
      <c r="Z35" s="183">
        <v>0.01</v>
      </c>
      <c r="AA35" s="183"/>
      <c r="AB35" s="183"/>
      <c r="AC35" s="183"/>
      <c r="AD35" s="183"/>
      <c r="AE35" s="183"/>
      <c r="AF35" s="183"/>
      <c r="AG35" s="184"/>
      <c r="AH35" s="184"/>
      <c r="AI35" s="184"/>
      <c r="AJ35" s="184"/>
      <c r="AK35" s="184"/>
      <c r="AL35" s="184"/>
      <c r="AM35" s="184"/>
      <c r="AN35" s="184"/>
      <c r="AO35" s="184"/>
      <c r="AP35" s="184"/>
      <c r="AQ35" s="184"/>
      <c r="AR35" s="184"/>
      <c r="AS35" s="184"/>
      <c r="AT35" s="184"/>
      <c r="AU35" s="184"/>
      <c r="AV35" s="184"/>
      <c r="AW35" s="184"/>
      <c r="AX35" s="184"/>
      <c r="AY35" s="184"/>
      <c r="AZ35" s="184"/>
      <c r="BA35" s="184"/>
      <c r="BB35" s="184"/>
      <c r="BC35" s="184"/>
      <c r="BD35" s="184"/>
      <c r="BE35" s="184"/>
      <c r="BF35" s="184"/>
      <c r="BG35" s="184"/>
      <c r="BH35" s="184"/>
      <c r="BI35" s="185"/>
      <c r="BJ35" s="119">
        <f t="shared" si="0"/>
        <v>1</v>
      </c>
    </row>
    <row r="36" spans="1:62" ht="7.8" customHeight="1" x14ac:dyDescent="0.25">
      <c r="A36" s="120">
        <f>Empreendimentos!B33</f>
        <v>0</v>
      </c>
      <c r="B36" s="121"/>
      <c r="C36" s="171"/>
      <c r="D36" s="148">
        <f>Empreendimentos!L33</f>
        <v>0</v>
      </c>
      <c r="E36" s="173">
        <f>Empreendimentos!M33</f>
        <v>0</v>
      </c>
      <c r="F36" s="149">
        <f>Empreendimentos!H33</f>
        <v>0</v>
      </c>
      <c r="G36" s="149">
        <f>Empreendimentos!I33</f>
        <v>0</v>
      </c>
      <c r="H36" s="179"/>
      <c r="I36" s="180"/>
      <c r="J36" s="206">
        <f t="shared" si="3"/>
        <v>0</v>
      </c>
      <c r="K36" s="206">
        <f t="shared" si="4"/>
        <v>0</v>
      </c>
      <c r="L36" s="123"/>
      <c r="M36" s="124"/>
      <c r="N36" s="124"/>
      <c r="O36" s="124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  <c r="BC36" s="126"/>
      <c r="BD36" s="126"/>
      <c r="BE36" s="126"/>
      <c r="BF36" s="126"/>
      <c r="BG36" s="126"/>
      <c r="BH36" s="126"/>
      <c r="BI36" s="127"/>
      <c r="BJ36" s="119">
        <f t="shared" si="0"/>
        <v>0</v>
      </c>
    </row>
    <row r="37" spans="1:62" ht="21.75" customHeight="1" x14ac:dyDescent="0.25">
      <c r="A37" s="186" t="str">
        <f>Empreendimentos!B34</f>
        <v>QC03</v>
      </c>
      <c r="B37" s="187" t="str">
        <f>Empreendimentos!C34</f>
        <v>Resid. Multifamiliar com fachada ativa</v>
      </c>
      <c r="C37" s="197" t="str">
        <f>$C$339</f>
        <v>Médio</v>
      </c>
      <c r="D37" s="188">
        <f>Empreendimentos!L34</f>
        <v>4</v>
      </c>
      <c r="E37" s="189">
        <f>Empreendimentos!M34</f>
        <v>102.3228</v>
      </c>
      <c r="F37" s="190">
        <f>Empreendimentos!H34</f>
        <v>32743.296000000002</v>
      </c>
      <c r="G37" s="190">
        <f>Empreendimentos!I34</f>
        <v>53677.534426229511</v>
      </c>
      <c r="H37" s="191">
        <f>F37*VLOOKUP(C37,$C$337:$E$344,2,FALSE)</f>
        <v>294689664</v>
      </c>
      <c r="I37" s="192">
        <f>G37*VLOOKUP(C37,$C$337:$E$351,3,FALSE)</f>
        <v>162087823.08920655</v>
      </c>
      <c r="J37" s="205">
        <f t="shared" si="3"/>
        <v>0.26396541292963954</v>
      </c>
      <c r="K37" s="205">
        <f t="shared" si="4"/>
        <v>0.26319863602707033</v>
      </c>
      <c r="L37" s="181">
        <v>0.02</v>
      </c>
      <c r="M37" s="182">
        <v>0.03</v>
      </c>
      <c r="N37" s="182">
        <v>0.04</v>
      </c>
      <c r="O37" s="182">
        <v>0.06</v>
      </c>
      <c r="P37" s="183">
        <v>7.0000000000000007E-2</v>
      </c>
      <c r="Q37" s="183">
        <v>0.08</v>
      </c>
      <c r="R37" s="183">
        <v>0.1</v>
      </c>
      <c r="S37" s="183">
        <v>0.1</v>
      </c>
      <c r="T37" s="183">
        <v>0.11</v>
      </c>
      <c r="U37" s="183">
        <v>0.1</v>
      </c>
      <c r="V37" s="183">
        <v>0.1</v>
      </c>
      <c r="W37" s="183">
        <v>0.08</v>
      </c>
      <c r="X37" s="183">
        <v>0.06</v>
      </c>
      <c r="Y37" s="183">
        <v>0.04</v>
      </c>
      <c r="Z37" s="183">
        <v>0.01</v>
      </c>
      <c r="AA37" s="183"/>
      <c r="AB37" s="183"/>
      <c r="AC37" s="183"/>
      <c r="AD37" s="183"/>
      <c r="AE37" s="183"/>
      <c r="AF37" s="183"/>
      <c r="AG37" s="184"/>
      <c r="AH37" s="184"/>
      <c r="AI37" s="184"/>
      <c r="AJ37" s="184"/>
      <c r="AK37" s="184"/>
      <c r="AL37" s="184"/>
      <c r="AM37" s="184"/>
      <c r="AN37" s="184"/>
      <c r="AO37" s="184"/>
      <c r="AP37" s="184"/>
      <c r="AQ37" s="184"/>
      <c r="AR37" s="184"/>
      <c r="AS37" s="184"/>
      <c r="AT37" s="184"/>
      <c r="AU37" s="184"/>
      <c r="AV37" s="184"/>
      <c r="AW37" s="184"/>
      <c r="AX37" s="184"/>
      <c r="AY37" s="184"/>
      <c r="AZ37" s="184"/>
      <c r="BA37" s="184"/>
      <c r="BB37" s="184"/>
      <c r="BC37" s="184"/>
      <c r="BD37" s="184"/>
      <c r="BE37" s="184"/>
      <c r="BF37" s="184"/>
      <c r="BG37" s="184"/>
      <c r="BH37" s="184"/>
      <c r="BI37" s="185"/>
      <c r="BJ37" s="119">
        <f t="shared" si="0"/>
        <v>1</v>
      </c>
    </row>
    <row r="38" spans="1:62" ht="7.8" customHeight="1" x14ac:dyDescent="0.25">
      <c r="A38" s="120"/>
      <c r="B38" s="121"/>
      <c r="C38" s="171"/>
      <c r="D38" s="148">
        <f>Empreendimentos!L35</f>
        <v>0</v>
      </c>
      <c r="E38" s="149"/>
      <c r="F38" s="149">
        <f>Empreendimentos!H35</f>
        <v>0</v>
      </c>
      <c r="G38" s="149">
        <f>Empreendimentos!I35</f>
        <v>0</v>
      </c>
      <c r="H38" s="147"/>
      <c r="I38" s="122"/>
      <c r="J38" s="204"/>
      <c r="K38" s="204">
        <f t="shared" si="4"/>
        <v>0</v>
      </c>
      <c r="L38" s="123"/>
      <c r="M38" s="124"/>
      <c r="N38" s="124"/>
      <c r="O38" s="124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7"/>
      <c r="BJ38" s="119">
        <f t="shared" si="0"/>
        <v>0</v>
      </c>
    </row>
    <row r="39" spans="1:62" ht="21.75" customHeight="1" x14ac:dyDescent="0.25">
      <c r="A39" s="186"/>
      <c r="B39" s="187" t="s">
        <v>230</v>
      </c>
      <c r="C39" s="197" t="str">
        <f>C349</f>
        <v>Parque Versailles</v>
      </c>
      <c r="D39" s="188">
        <f>Empreendimentos!L36</f>
        <v>0</v>
      </c>
      <c r="E39" s="189">
        <f>Empreendimentos!M36</f>
        <v>0</v>
      </c>
      <c r="F39" s="190">
        <f>Empreendimentos!H36</f>
        <v>0</v>
      </c>
      <c r="G39" s="190">
        <f>Empreendimentos!D36</f>
        <v>17160</v>
      </c>
      <c r="H39" s="191">
        <f>F39*VLOOKUP(C39,$C$337:$E$351,2,FALSE)</f>
        <v>0</v>
      </c>
      <c r="I39" s="192">
        <f>G39*VLOOKUP(C39,$C$337:$E$351,3,FALSE)</f>
        <v>1029600</v>
      </c>
      <c r="J39" s="205">
        <f t="shared" ref="J39" si="7">H39/$H$42</f>
        <v>0</v>
      </c>
      <c r="K39" s="205">
        <f t="shared" ref="K39" si="8">I39/$I$47</f>
        <v>1.6718672043878958E-3</v>
      </c>
      <c r="L39" s="181">
        <v>0.5</v>
      </c>
      <c r="M39" s="182">
        <v>0.5</v>
      </c>
      <c r="N39" s="182"/>
      <c r="O39" s="182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4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  <c r="AS39" s="184"/>
      <c r="AT39" s="184"/>
      <c r="AU39" s="184"/>
      <c r="AV39" s="184"/>
      <c r="AW39" s="184"/>
      <c r="AX39" s="184"/>
      <c r="AY39" s="184"/>
      <c r="AZ39" s="184"/>
      <c r="BA39" s="184"/>
      <c r="BB39" s="184"/>
      <c r="BC39" s="184"/>
      <c r="BD39" s="184"/>
      <c r="BE39" s="184"/>
      <c r="BF39" s="184"/>
      <c r="BG39" s="184"/>
      <c r="BH39" s="184"/>
      <c r="BI39" s="185"/>
      <c r="BJ39" s="119">
        <f t="shared" si="0"/>
        <v>1</v>
      </c>
    </row>
    <row r="40" spans="1:62" s="13" customFormat="1" ht="7.8" customHeight="1" x14ac:dyDescent="0.25">
      <c r="A40" s="130"/>
      <c r="B40" s="131"/>
      <c r="C40" s="131"/>
      <c r="D40" s="131"/>
      <c r="E40" s="131"/>
      <c r="F40" s="131"/>
      <c r="G40" s="131"/>
      <c r="H40" s="131"/>
      <c r="I40" s="132"/>
      <c r="J40" s="207">
        <f>H40/$H$42</f>
        <v>0</v>
      </c>
      <c r="K40" s="207">
        <f>I40/$H$42</f>
        <v>0</v>
      </c>
      <c r="L40" s="133"/>
      <c r="M40" s="134"/>
      <c r="N40" s="134"/>
      <c r="O40" s="134"/>
      <c r="P40" s="135"/>
      <c r="Q40" s="135"/>
      <c r="R40" s="135"/>
      <c r="S40" s="135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8"/>
      <c r="BJ40" s="119">
        <f>SUM(K40:AI40)</f>
        <v>0</v>
      </c>
    </row>
    <row r="41" spans="1:62" s="13" customFormat="1" ht="7.8" customHeight="1" x14ac:dyDescent="0.25">
      <c r="A41" s="139"/>
      <c r="B41" s="140"/>
      <c r="C41" s="140"/>
      <c r="D41" s="140"/>
      <c r="E41" s="140"/>
      <c r="F41" s="140"/>
      <c r="G41" s="140"/>
      <c r="H41" s="140"/>
      <c r="I41" s="141"/>
      <c r="J41" s="140"/>
      <c r="K41" s="140"/>
      <c r="L41" s="139"/>
      <c r="M41" s="139"/>
      <c r="N41" s="139"/>
      <c r="O41" s="139"/>
      <c r="P41" s="139"/>
      <c r="Q41" s="139"/>
      <c r="R41" s="139"/>
      <c r="S41" s="139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3"/>
    </row>
    <row r="42" spans="1:62" s="144" customFormat="1" ht="18" customHeight="1" x14ac:dyDescent="0.25">
      <c r="A42" s="379" t="s">
        <v>223</v>
      </c>
      <c r="B42" s="380"/>
      <c r="C42" s="385" t="s">
        <v>168</v>
      </c>
      <c r="D42" s="386"/>
      <c r="E42" s="386"/>
      <c r="F42" s="386"/>
      <c r="G42" s="387"/>
      <c r="H42" s="388">
        <f>SUM(H12,H35,H37,H39)</f>
        <v>1116394988</v>
      </c>
      <c r="I42" s="388"/>
      <c r="J42" s="389">
        <f>SUM(J12,J35,J37)</f>
        <v>1</v>
      </c>
      <c r="K42" s="389"/>
      <c r="L42" s="163">
        <f>SUMPRODUCT($H11:$H40,L11:L40)</f>
        <v>28678299.760000002</v>
      </c>
      <c r="M42" s="163">
        <f>SUMPRODUCT($H11:$H40,M11:M40)</f>
        <v>33297449.640000001</v>
      </c>
      <c r="N42" s="163">
        <f t="shared" ref="N42:BI42" si="9">SUMPRODUCT($H11:$H40,N11:N40)</f>
        <v>44396599.520000003</v>
      </c>
      <c r="O42" s="163">
        <f t="shared" si="9"/>
        <v>66594899.280000001</v>
      </c>
      <c r="P42" s="163">
        <f t="shared" si="9"/>
        <v>77694049.160000011</v>
      </c>
      <c r="Q42" s="163">
        <f t="shared" si="9"/>
        <v>88793199.040000007</v>
      </c>
      <c r="R42" s="163">
        <f t="shared" si="9"/>
        <v>110991498.80000001</v>
      </c>
      <c r="S42" s="163">
        <f t="shared" si="9"/>
        <v>110991498.80000001</v>
      </c>
      <c r="T42" s="163">
        <f t="shared" si="9"/>
        <v>122090648.68000001</v>
      </c>
      <c r="U42" s="163">
        <f t="shared" si="9"/>
        <v>110991498.80000001</v>
      </c>
      <c r="V42" s="163">
        <f t="shared" si="9"/>
        <v>110991498.80000001</v>
      </c>
      <c r="W42" s="163">
        <f t="shared" si="9"/>
        <v>88793199.040000007</v>
      </c>
      <c r="X42" s="163">
        <f t="shared" si="9"/>
        <v>66594899.280000001</v>
      </c>
      <c r="Y42" s="163">
        <f t="shared" si="9"/>
        <v>44396599.520000003</v>
      </c>
      <c r="Z42" s="163">
        <f t="shared" si="9"/>
        <v>11099149.880000001</v>
      </c>
      <c r="AA42" s="163">
        <f t="shared" si="9"/>
        <v>0</v>
      </c>
      <c r="AB42" s="163">
        <f t="shared" si="9"/>
        <v>0</v>
      </c>
      <c r="AC42" s="163">
        <f t="shared" si="9"/>
        <v>0</v>
      </c>
      <c r="AD42" s="163">
        <f t="shared" si="9"/>
        <v>0</v>
      </c>
      <c r="AE42" s="163">
        <f t="shared" si="9"/>
        <v>0</v>
      </c>
      <c r="AF42" s="163">
        <f t="shared" si="9"/>
        <v>0</v>
      </c>
      <c r="AG42" s="163">
        <f t="shared" si="9"/>
        <v>0</v>
      </c>
      <c r="AH42" s="163">
        <f t="shared" si="9"/>
        <v>0</v>
      </c>
      <c r="AI42" s="163">
        <f t="shared" si="9"/>
        <v>0</v>
      </c>
      <c r="AJ42" s="163">
        <f t="shared" si="9"/>
        <v>0</v>
      </c>
      <c r="AK42" s="163">
        <f t="shared" si="9"/>
        <v>0</v>
      </c>
      <c r="AL42" s="163">
        <f t="shared" si="9"/>
        <v>0</v>
      </c>
      <c r="AM42" s="163">
        <f t="shared" si="9"/>
        <v>0</v>
      </c>
      <c r="AN42" s="163">
        <f t="shared" si="9"/>
        <v>0</v>
      </c>
      <c r="AO42" s="163">
        <f t="shared" si="9"/>
        <v>0</v>
      </c>
      <c r="AP42" s="163">
        <f t="shared" si="9"/>
        <v>0</v>
      </c>
      <c r="AQ42" s="163">
        <f t="shared" si="9"/>
        <v>0</v>
      </c>
      <c r="AR42" s="163">
        <f t="shared" si="9"/>
        <v>0</v>
      </c>
      <c r="AS42" s="163">
        <f t="shared" si="9"/>
        <v>0</v>
      </c>
      <c r="AT42" s="163">
        <f t="shared" si="9"/>
        <v>0</v>
      </c>
      <c r="AU42" s="163">
        <f t="shared" si="9"/>
        <v>0</v>
      </c>
      <c r="AV42" s="163">
        <f t="shared" si="9"/>
        <v>0</v>
      </c>
      <c r="AW42" s="163">
        <f t="shared" si="9"/>
        <v>0</v>
      </c>
      <c r="AX42" s="163">
        <f t="shared" si="9"/>
        <v>0</v>
      </c>
      <c r="AY42" s="163">
        <f t="shared" si="9"/>
        <v>0</v>
      </c>
      <c r="AZ42" s="163">
        <f t="shared" si="9"/>
        <v>0</v>
      </c>
      <c r="BA42" s="163">
        <f t="shared" si="9"/>
        <v>0</v>
      </c>
      <c r="BB42" s="163">
        <f t="shared" si="9"/>
        <v>0</v>
      </c>
      <c r="BC42" s="163">
        <f t="shared" si="9"/>
        <v>0</v>
      </c>
      <c r="BD42" s="163">
        <f t="shared" si="9"/>
        <v>0</v>
      </c>
      <c r="BE42" s="163">
        <f t="shared" si="9"/>
        <v>0</v>
      </c>
      <c r="BF42" s="163">
        <f t="shared" si="9"/>
        <v>0</v>
      </c>
      <c r="BG42" s="163">
        <f t="shared" si="9"/>
        <v>0</v>
      </c>
      <c r="BH42" s="163">
        <f t="shared" si="9"/>
        <v>0</v>
      </c>
      <c r="BI42" s="163">
        <f t="shared" si="9"/>
        <v>0</v>
      </c>
    </row>
    <row r="43" spans="1:62" s="144" customFormat="1" ht="18" customHeight="1" x14ac:dyDescent="0.25">
      <c r="A43" s="381"/>
      <c r="B43" s="382"/>
      <c r="C43" s="385" t="s">
        <v>169</v>
      </c>
      <c r="D43" s="386"/>
      <c r="E43" s="386"/>
      <c r="F43" s="386"/>
      <c r="G43" s="387"/>
      <c r="H43" s="388"/>
      <c r="I43" s="388"/>
      <c r="J43" s="389"/>
      <c r="K43" s="389"/>
      <c r="L43" s="164">
        <f>L42+J42</f>
        <v>28678300.760000002</v>
      </c>
      <c r="M43" s="164">
        <f>M42+L43</f>
        <v>61975750.400000006</v>
      </c>
      <c r="N43" s="164">
        <f t="shared" ref="N43:BI43" si="10">N42+M43</f>
        <v>106372349.92000002</v>
      </c>
      <c r="O43" s="164">
        <f t="shared" si="10"/>
        <v>172967249.20000002</v>
      </c>
      <c r="P43" s="164">
        <f t="shared" si="10"/>
        <v>250661298.36000001</v>
      </c>
      <c r="Q43" s="164">
        <f t="shared" si="10"/>
        <v>339454497.40000004</v>
      </c>
      <c r="R43" s="164">
        <f t="shared" si="10"/>
        <v>450445996.20000005</v>
      </c>
      <c r="S43" s="164">
        <f t="shared" si="10"/>
        <v>561437495</v>
      </c>
      <c r="T43" s="164">
        <f t="shared" si="10"/>
        <v>683528143.68000007</v>
      </c>
      <c r="U43" s="164">
        <f t="shared" si="10"/>
        <v>794519642.48000002</v>
      </c>
      <c r="V43" s="164">
        <f t="shared" si="10"/>
        <v>905511141.27999997</v>
      </c>
      <c r="W43" s="164">
        <f t="shared" si="10"/>
        <v>994304340.31999993</v>
      </c>
      <c r="X43" s="164">
        <f t="shared" si="10"/>
        <v>1060899239.5999999</v>
      </c>
      <c r="Y43" s="164">
        <f t="shared" si="10"/>
        <v>1105295839.1199999</v>
      </c>
      <c r="Z43" s="164">
        <f t="shared" si="10"/>
        <v>1116394989</v>
      </c>
      <c r="AA43" s="164">
        <f t="shared" si="10"/>
        <v>1116394989</v>
      </c>
      <c r="AB43" s="164">
        <f t="shared" si="10"/>
        <v>1116394989</v>
      </c>
      <c r="AC43" s="164">
        <f t="shared" si="10"/>
        <v>1116394989</v>
      </c>
      <c r="AD43" s="164">
        <f t="shared" si="10"/>
        <v>1116394989</v>
      </c>
      <c r="AE43" s="164">
        <f t="shared" si="10"/>
        <v>1116394989</v>
      </c>
      <c r="AF43" s="164">
        <f t="shared" si="10"/>
        <v>1116394989</v>
      </c>
      <c r="AG43" s="164">
        <f t="shared" si="10"/>
        <v>1116394989</v>
      </c>
      <c r="AH43" s="164">
        <f t="shared" si="10"/>
        <v>1116394989</v>
      </c>
      <c r="AI43" s="164">
        <f t="shared" si="10"/>
        <v>1116394989</v>
      </c>
      <c r="AJ43" s="164">
        <f t="shared" si="10"/>
        <v>1116394989</v>
      </c>
      <c r="AK43" s="164">
        <f t="shared" si="10"/>
        <v>1116394989</v>
      </c>
      <c r="AL43" s="164">
        <f t="shared" si="10"/>
        <v>1116394989</v>
      </c>
      <c r="AM43" s="164">
        <f t="shared" si="10"/>
        <v>1116394989</v>
      </c>
      <c r="AN43" s="164">
        <f t="shared" si="10"/>
        <v>1116394989</v>
      </c>
      <c r="AO43" s="164">
        <f t="shared" si="10"/>
        <v>1116394989</v>
      </c>
      <c r="AP43" s="164">
        <f t="shared" si="10"/>
        <v>1116394989</v>
      </c>
      <c r="AQ43" s="164">
        <f t="shared" si="10"/>
        <v>1116394989</v>
      </c>
      <c r="AR43" s="164">
        <f t="shared" si="10"/>
        <v>1116394989</v>
      </c>
      <c r="AS43" s="164">
        <f t="shared" si="10"/>
        <v>1116394989</v>
      </c>
      <c r="AT43" s="164">
        <f t="shared" si="10"/>
        <v>1116394989</v>
      </c>
      <c r="AU43" s="164">
        <f t="shared" si="10"/>
        <v>1116394989</v>
      </c>
      <c r="AV43" s="164">
        <f t="shared" si="10"/>
        <v>1116394989</v>
      </c>
      <c r="AW43" s="164">
        <f t="shared" si="10"/>
        <v>1116394989</v>
      </c>
      <c r="AX43" s="164">
        <f t="shared" si="10"/>
        <v>1116394989</v>
      </c>
      <c r="AY43" s="164">
        <f t="shared" si="10"/>
        <v>1116394989</v>
      </c>
      <c r="AZ43" s="164">
        <f t="shared" si="10"/>
        <v>1116394989</v>
      </c>
      <c r="BA43" s="164">
        <f t="shared" si="10"/>
        <v>1116394989</v>
      </c>
      <c r="BB43" s="164">
        <f t="shared" si="10"/>
        <v>1116394989</v>
      </c>
      <c r="BC43" s="164">
        <f t="shared" si="10"/>
        <v>1116394989</v>
      </c>
      <c r="BD43" s="164">
        <f t="shared" si="10"/>
        <v>1116394989</v>
      </c>
      <c r="BE43" s="164">
        <f t="shared" si="10"/>
        <v>1116394989</v>
      </c>
      <c r="BF43" s="164">
        <f t="shared" si="10"/>
        <v>1116394989</v>
      </c>
      <c r="BG43" s="164">
        <f t="shared" si="10"/>
        <v>1116394989</v>
      </c>
      <c r="BH43" s="164">
        <f t="shared" si="10"/>
        <v>1116394989</v>
      </c>
      <c r="BI43" s="164">
        <f t="shared" si="10"/>
        <v>1116394989</v>
      </c>
    </row>
    <row r="44" spans="1:62" s="144" customFormat="1" ht="18" customHeight="1" x14ac:dyDescent="0.25">
      <c r="A44" s="381"/>
      <c r="B44" s="382"/>
      <c r="C44" s="385" t="s">
        <v>170</v>
      </c>
      <c r="D44" s="386"/>
      <c r="E44" s="386"/>
      <c r="F44" s="386"/>
      <c r="G44" s="387"/>
      <c r="H44" s="388"/>
      <c r="I44" s="388"/>
      <c r="J44" s="389"/>
      <c r="K44" s="389"/>
      <c r="L44" s="165">
        <f>L42/$H$42</f>
        <v>2.5688309306526554E-2</v>
      </c>
      <c r="M44" s="165">
        <f>M42/$H$42</f>
        <v>2.9825868082453268E-2</v>
      </c>
      <c r="N44" s="165">
        <f t="shared" ref="N44:BI44" si="11">N42/$H$42</f>
        <v>3.9767824109937698E-2</v>
      </c>
      <c r="O44" s="165">
        <f t="shared" si="11"/>
        <v>5.9651736164906537E-2</v>
      </c>
      <c r="P44" s="165">
        <f t="shared" si="11"/>
        <v>6.9593692192390977E-2</v>
      </c>
      <c r="Q44" s="165">
        <f t="shared" si="11"/>
        <v>7.9535648219875396E-2</v>
      </c>
      <c r="R44" s="165">
        <f t="shared" si="11"/>
        <v>9.9419560274844235E-2</v>
      </c>
      <c r="S44" s="165">
        <f t="shared" si="11"/>
        <v>9.9419560274844235E-2</v>
      </c>
      <c r="T44" s="165">
        <f t="shared" si="11"/>
        <v>0.10936151630232865</v>
      </c>
      <c r="U44" s="165">
        <f t="shared" si="11"/>
        <v>9.9419560274844235E-2</v>
      </c>
      <c r="V44" s="165">
        <f t="shared" si="11"/>
        <v>9.9419560274844235E-2</v>
      </c>
      <c r="W44" s="165">
        <f t="shared" si="11"/>
        <v>7.9535648219875396E-2</v>
      </c>
      <c r="X44" s="165">
        <f t="shared" si="11"/>
        <v>5.9651736164906537E-2</v>
      </c>
      <c r="Y44" s="165">
        <f t="shared" si="11"/>
        <v>3.9767824109937698E-2</v>
      </c>
      <c r="Z44" s="165">
        <f t="shared" si="11"/>
        <v>9.9419560274844245E-3</v>
      </c>
      <c r="AA44" s="165">
        <f t="shared" si="11"/>
        <v>0</v>
      </c>
      <c r="AB44" s="165">
        <f t="shared" si="11"/>
        <v>0</v>
      </c>
      <c r="AC44" s="165">
        <f t="shared" si="11"/>
        <v>0</v>
      </c>
      <c r="AD44" s="165">
        <f t="shared" si="11"/>
        <v>0</v>
      </c>
      <c r="AE44" s="165">
        <f t="shared" si="11"/>
        <v>0</v>
      </c>
      <c r="AF44" s="165">
        <f t="shared" si="11"/>
        <v>0</v>
      </c>
      <c r="AG44" s="165">
        <f t="shared" si="11"/>
        <v>0</v>
      </c>
      <c r="AH44" s="165">
        <f t="shared" si="11"/>
        <v>0</v>
      </c>
      <c r="AI44" s="165">
        <f t="shared" si="11"/>
        <v>0</v>
      </c>
      <c r="AJ44" s="165">
        <f t="shared" si="11"/>
        <v>0</v>
      </c>
      <c r="AK44" s="165">
        <f t="shared" si="11"/>
        <v>0</v>
      </c>
      <c r="AL44" s="165">
        <f t="shared" si="11"/>
        <v>0</v>
      </c>
      <c r="AM44" s="165">
        <f t="shared" si="11"/>
        <v>0</v>
      </c>
      <c r="AN44" s="165">
        <f t="shared" si="11"/>
        <v>0</v>
      </c>
      <c r="AO44" s="165">
        <f t="shared" si="11"/>
        <v>0</v>
      </c>
      <c r="AP44" s="165">
        <f t="shared" si="11"/>
        <v>0</v>
      </c>
      <c r="AQ44" s="165">
        <f t="shared" si="11"/>
        <v>0</v>
      </c>
      <c r="AR44" s="165">
        <f t="shared" si="11"/>
        <v>0</v>
      </c>
      <c r="AS44" s="165">
        <f t="shared" si="11"/>
        <v>0</v>
      </c>
      <c r="AT44" s="165">
        <f t="shared" si="11"/>
        <v>0</v>
      </c>
      <c r="AU44" s="165">
        <f t="shared" si="11"/>
        <v>0</v>
      </c>
      <c r="AV44" s="165">
        <f t="shared" si="11"/>
        <v>0</v>
      </c>
      <c r="AW44" s="165">
        <f t="shared" si="11"/>
        <v>0</v>
      </c>
      <c r="AX44" s="165">
        <f t="shared" si="11"/>
        <v>0</v>
      </c>
      <c r="AY44" s="165">
        <f t="shared" si="11"/>
        <v>0</v>
      </c>
      <c r="AZ44" s="165">
        <f t="shared" si="11"/>
        <v>0</v>
      </c>
      <c r="BA44" s="165">
        <f t="shared" si="11"/>
        <v>0</v>
      </c>
      <c r="BB44" s="165">
        <f t="shared" si="11"/>
        <v>0</v>
      </c>
      <c r="BC44" s="165">
        <f t="shared" si="11"/>
        <v>0</v>
      </c>
      <c r="BD44" s="165">
        <f t="shared" si="11"/>
        <v>0</v>
      </c>
      <c r="BE44" s="165">
        <f t="shared" si="11"/>
        <v>0</v>
      </c>
      <c r="BF44" s="165">
        <f t="shared" si="11"/>
        <v>0</v>
      </c>
      <c r="BG44" s="165">
        <f t="shared" si="11"/>
        <v>0</v>
      </c>
      <c r="BH44" s="165">
        <f t="shared" si="11"/>
        <v>0</v>
      </c>
      <c r="BI44" s="165">
        <f t="shared" si="11"/>
        <v>0</v>
      </c>
    </row>
    <row r="45" spans="1:62" s="144" customFormat="1" ht="18" customHeight="1" x14ac:dyDescent="0.25">
      <c r="A45" s="383"/>
      <c r="B45" s="384"/>
      <c r="C45" s="385" t="s">
        <v>171</v>
      </c>
      <c r="D45" s="386"/>
      <c r="E45" s="386"/>
      <c r="F45" s="386"/>
      <c r="G45" s="387"/>
      <c r="H45" s="388"/>
      <c r="I45" s="388"/>
      <c r="J45" s="389"/>
      <c r="K45" s="389"/>
      <c r="L45" s="165">
        <f t="shared" ref="L45" si="12">L44+K45</f>
        <v>2.5688309306526554E-2</v>
      </c>
      <c r="M45" s="165">
        <f t="shared" ref="M45" si="13">M44+L45</f>
        <v>5.5514177388979818E-2</v>
      </c>
      <c r="N45" s="165">
        <f t="shared" ref="N45" si="14">N44+M45</f>
        <v>9.5282001498917523E-2</v>
      </c>
      <c r="O45" s="165">
        <f t="shared" ref="O45" si="15">O44+N45</f>
        <v>0.15493373766382407</v>
      </c>
      <c r="P45" s="165">
        <f t="shared" ref="P45" si="16">P44+O45</f>
        <v>0.22452742985621504</v>
      </c>
      <c r="Q45" s="165">
        <f t="shared" ref="Q45" si="17">Q44+P45</f>
        <v>0.30406307807609045</v>
      </c>
      <c r="R45" s="165">
        <f t="shared" ref="R45" si="18">R44+Q45</f>
        <v>0.40348263835093467</v>
      </c>
      <c r="S45" s="165">
        <f t="shared" ref="S45" si="19">S44+R45</f>
        <v>0.5029021986257789</v>
      </c>
      <c r="T45" s="165">
        <f t="shared" ref="T45" si="20">T44+S45</f>
        <v>0.61226371492810761</v>
      </c>
      <c r="U45" s="165">
        <f t="shared" ref="U45" si="21">U44+T45</f>
        <v>0.71168327520295183</v>
      </c>
      <c r="V45" s="165">
        <f t="shared" ref="V45" si="22">V44+U45</f>
        <v>0.81110283547779605</v>
      </c>
      <c r="W45" s="165">
        <f t="shared" ref="W45" si="23">W44+V45</f>
        <v>0.8906384836976714</v>
      </c>
      <c r="X45" s="165">
        <f t="shared" ref="X45" si="24">X44+W45</f>
        <v>0.95029021986257789</v>
      </c>
      <c r="Y45" s="165">
        <f t="shared" ref="Y45" si="25">Y44+X45</f>
        <v>0.99005804397251562</v>
      </c>
      <c r="Z45" s="165">
        <f t="shared" ref="Z45" si="26">Z44+Y45</f>
        <v>1</v>
      </c>
      <c r="AA45" s="165">
        <f t="shared" ref="AA45" si="27">AA44+Z45</f>
        <v>1</v>
      </c>
      <c r="AB45" s="165">
        <f t="shared" ref="AB45" si="28">AB44+AA45</f>
        <v>1</v>
      </c>
      <c r="AC45" s="165">
        <f t="shared" ref="AC45" si="29">AC44+AB45</f>
        <v>1</v>
      </c>
      <c r="AD45" s="165">
        <f t="shared" ref="AD45" si="30">AD44+AC45</f>
        <v>1</v>
      </c>
      <c r="AE45" s="165">
        <f t="shared" ref="AE45" si="31">AE44+AD45</f>
        <v>1</v>
      </c>
      <c r="AF45" s="165">
        <f t="shared" ref="AF45" si="32">AF44+AE45</f>
        <v>1</v>
      </c>
      <c r="AG45" s="165">
        <f t="shared" ref="AG45" si="33">AG44+AF45</f>
        <v>1</v>
      </c>
      <c r="AH45" s="165">
        <f t="shared" ref="AH45" si="34">AH44+AG45</f>
        <v>1</v>
      </c>
      <c r="AI45" s="165">
        <f t="shared" ref="AI45" si="35">AI44+AH45</f>
        <v>1</v>
      </c>
      <c r="AJ45" s="165">
        <f t="shared" ref="AJ45" si="36">AJ44+AI45</f>
        <v>1</v>
      </c>
      <c r="AK45" s="165">
        <f t="shared" ref="AK45" si="37">AK44+AJ45</f>
        <v>1</v>
      </c>
      <c r="AL45" s="165">
        <f t="shared" ref="AL45" si="38">AL44+AK45</f>
        <v>1</v>
      </c>
      <c r="AM45" s="165">
        <f t="shared" ref="AM45" si="39">AM44+AL45</f>
        <v>1</v>
      </c>
      <c r="AN45" s="165">
        <f t="shared" ref="AN45" si="40">AN44+AM45</f>
        <v>1</v>
      </c>
      <c r="AO45" s="165">
        <f t="shared" ref="AO45" si="41">AO44+AN45</f>
        <v>1</v>
      </c>
      <c r="AP45" s="165">
        <f t="shared" ref="AP45" si="42">AP44+AO45</f>
        <v>1</v>
      </c>
      <c r="AQ45" s="165">
        <f t="shared" ref="AQ45" si="43">AQ44+AP45</f>
        <v>1</v>
      </c>
      <c r="AR45" s="165">
        <f t="shared" ref="AR45" si="44">AR44+AQ45</f>
        <v>1</v>
      </c>
      <c r="AS45" s="165">
        <f t="shared" ref="AS45" si="45">AS44+AR45</f>
        <v>1</v>
      </c>
      <c r="AT45" s="165">
        <f t="shared" ref="AT45" si="46">AT44+AS45</f>
        <v>1</v>
      </c>
      <c r="AU45" s="165">
        <f t="shared" ref="AU45" si="47">AU44+AT45</f>
        <v>1</v>
      </c>
      <c r="AV45" s="165">
        <f t="shared" ref="AV45" si="48">AV44+AU45</f>
        <v>1</v>
      </c>
      <c r="AW45" s="165">
        <f t="shared" ref="AW45" si="49">AW44+AV45</f>
        <v>1</v>
      </c>
      <c r="AX45" s="165">
        <f t="shared" ref="AX45" si="50">AX44+AW45</f>
        <v>1</v>
      </c>
      <c r="AY45" s="165">
        <f t="shared" ref="AY45" si="51">AY44+AX45</f>
        <v>1</v>
      </c>
      <c r="AZ45" s="165">
        <f t="shared" ref="AZ45" si="52">AZ44+AY45</f>
        <v>1</v>
      </c>
      <c r="BA45" s="165">
        <f t="shared" ref="BA45" si="53">BA44+AZ45</f>
        <v>1</v>
      </c>
      <c r="BB45" s="165">
        <f t="shared" ref="BB45" si="54">BB44+BA45</f>
        <v>1</v>
      </c>
      <c r="BC45" s="165">
        <f t="shared" ref="BC45" si="55">BC44+BB45</f>
        <v>1</v>
      </c>
      <c r="BD45" s="165">
        <f t="shared" ref="BD45" si="56">BD44+BC45</f>
        <v>1</v>
      </c>
      <c r="BE45" s="165">
        <f t="shared" ref="BE45" si="57">BE44+BD45</f>
        <v>1</v>
      </c>
      <c r="BF45" s="165">
        <f t="shared" ref="BF45" si="58">BF44+BE45</f>
        <v>1</v>
      </c>
      <c r="BG45" s="165">
        <f t="shared" ref="BG45" si="59">BG44+BF45</f>
        <v>1</v>
      </c>
      <c r="BH45" s="165">
        <f t="shared" ref="BH45" si="60">BH44+BG45</f>
        <v>1</v>
      </c>
      <c r="BI45" s="165">
        <f t="shared" ref="BI45" si="61">BI44+BH45</f>
        <v>1</v>
      </c>
    </row>
    <row r="46" spans="1:62" s="140" customFormat="1" ht="10.199999999999999" x14ac:dyDescent="0.25">
      <c r="I46" s="145"/>
      <c r="J46" s="145"/>
      <c r="K46" s="145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6"/>
      <c r="BC46" s="146"/>
      <c r="BD46" s="146"/>
      <c r="BE46" s="146"/>
      <c r="BF46" s="146"/>
      <c r="BG46" s="146"/>
      <c r="BH46" s="146"/>
      <c r="BI46" s="146"/>
    </row>
    <row r="47" spans="1:62" s="144" customFormat="1" ht="18" customHeight="1" x14ac:dyDescent="0.25">
      <c r="A47" s="368" t="s">
        <v>224</v>
      </c>
      <c r="B47" s="369"/>
      <c r="C47" s="374" t="s">
        <v>168</v>
      </c>
      <c r="D47" s="375"/>
      <c r="E47" s="375"/>
      <c r="F47" s="375"/>
      <c r="G47" s="376"/>
      <c r="H47" s="377"/>
      <c r="I47" s="377">
        <f>SUM(I12,I35,I37,I39)</f>
        <v>615838385.54746771</v>
      </c>
      <c r="J47" s="378"/>
      <c r="K47" s="378">
        <f>SUM(K12,K35,K37,K39)</f>
        <v>1</v>
      </c>
      <c r="L47" s="200">
        <f>SUMPRODUCT($I11:$I40,L11:L40)</f>
        <v>12810975.710949354</v>
      </c>
      <c r="M47" s="200">
        <f t="shared" ref="M47" si="62">SUMPRODUCT($I11:$I40,M11:M40)</f>
        <v>18959063.566424027</v>
      </c>
      <c r="N47" s="200">
        <f t="shared" ref="N47:BI47" si="63">SUMPRODUCT($I11:$I40,N11:N40)</f>
        <v>24592351.421898708</v>
      </c>
      <c r="O47" s="200">
        <f t="shared" si="63"/>
        <v>36888527.132848054</v>
      </c>
      <c r="P47" s="200">
        <f t="shared" si="63"/>
        <v>43036614.988322735</v>
      </c>
      <c r="Q47" s="200">
        <f t="shared" si="63"/>
        <v>49184702.843797415</v>
      </c>
      <c r="R47" s="200">
        <f t="shared" si="63"/>
        <v>61480878.554746762</v>
      </c>
      <c r="S47" s="200">
        <f t="shared" si="63"/>
        <v>61480878.554746762</v>
      </c>
      <c r="T47" s="200">
        <f t="shared" si="63"/>
        <v>67628966.410221428</v>
      </c>
      <c r="U47" s="200">
        <f t="shared" si="63"/>
        <v>61480878.554746762</v>
      </c>
      <c r="V47" s="200">
        <f t="shared" si="63"/>
        <v>61480878.554746762</v>
      </c>
      <c r="W47" s="200">
        <f t="shared" si="63"/>
        <v>49184702.843797415</v>
      </c>
      <c r="X47" s="200">
        <f t="shared" si="63"/>
        <v>36888527.132848054</v>
      </c>
      <c r="Y47" s="200">
        <f t="shared" si="63"/>
        <v>24592351.421898708</v>
      </c>
      <c r="Z47" s="200">
        <f t="shared" si="63"/>
        <v>6148087.8554746769</v>
      </c>
      <c r="AA47" s="200">
        <f t="shared" si="63"/>
        <v>0</v>
      </c>
      <c r="AB47" s="200">
        <f t="shared" si="63"/>
        <v>0</v>
      </c>
      <c r="AC47" s="200">
        <f t="shared" si="63"/>
        <v>0</v>
      </c>
      <c r="AD47" s="200">
        <f t="shared" si="63"/>
        <v>0</v>
      </c>
      <c r="AE47" s="200">
        <f t="shared" si="63"/>
        <v>0</v>
      </c>
      <c r="AF47" s="200">
        <f t="shared" si="63"/>
        <v>0</v>
      </c>
      <c r="AG47" s="200">
        <f t="shared" si="63"/>
        <v>0</v>
      </c>
      <c r="AH47" s="200">
        <f t="shared" si="63"/>
        <v>0</v>
      </c>
      <c r="AI47" s="200">
        <f t="shared" si="63"/>
        <v>0</v>
      </c>
      <c r="AJ47" s="200">
        <f t="shared" si="63"/>
        <v>0</v>
      </c>
      <c r="AK47" s="200">
        <f t="shared" si="63"/>
        <v>0</v>
      </c>
      <c r="AL47" s="200">
        <f t="shared" si="63"/>
        <v>0</v>
      </c>
      <c r="AM47" s="200">
        <f t="shared" si="63"/>
        <v>0</v>
      </c>
      <c r="AN47" s="200">
        <f t="shared" si="63"/>
        <v>0</v>
      </c>
      <c r="AO47" s="200">
        <f t="shared" si="63"/>
        <v>0</v>
      </c>
      <c r="AP47" s="200">
        <f t="shared" si="63"/>
        <v>0</v>
      </c>
      <c r="AQ47" s="200">
        <f t="shared" si="63"/>
        <v>0</v>
      </c>
      <c r="AR47" s="200">
        <f t="shared" si="63"/>
        <v>0</v>
      </c>
      <c r="AS47" s="200">
        <f t="shared" si="63"/>
        <v>0</v>
      </c>
      <c r="AT47" s="200">
        <f t="shared" si="63"/>
        <v>0</v>
      </c>
      <c r="AU47" s="200">
        <f t="shared" si="63"/>
        <v>0</v>
      </c>
      <c r="AV47" s="200">
        <f t="shared" si="63"/>
        <v>0</v>
      </c>
      <c r="AW47" s="200">
        <f t="shared" si="63"/>
        <v>0</v>
      </c>
      <c r="AX47" s="200">
        <f t="shared" si="63"/>
        <v>0</v>
      </c>
      <c r="AY47" s="200">
        <f t="shared" si="63"/>
        <v>0</v>
      </c>
      <c r="AZ47" s="200">
        <f t="shared" si="63"/>
        <v>0</v>
      </c>
      <c r="BA47" s="200">
        <f t="shared" si="63"/>
        <v>0</v>
      </c>
      <c r="BB47" s="200">
        <f t="shared" si="63"/>
        <v>0</v>
      </c>
      <c r="BC47" s="200">
        <f t="shared" si="63"/>
        <v>0</v>
      </c>
      <c r="BD47" s="200">
        <f t="shared" si="63"/>
        <v>0</v>
      </c>
      <c r="BE47" s="200">
        <f t="shared" si="63"/>
        <v>0</v>
      </c>
      <c r="BF47" s="200">
        <f t="shared" si="63"/>
        <v>0</v>
      </c>
      <c r="BG47" s="200">
        <f t="shared" si="63"/>
        <v>0</v>
      </c>
      <c r="BH47" s="200">
        <f t="shared" si="63"/>
        <v>0</v>
      </c>
      <c r="BI47" s="200">
        <f t="shared" si="63"/>
        <v>0</v>
      </c>
    </row>
    <row r="48" spans="1:62" s="144" customFormat="1" ht="18" customHeight="1" x14ac:dyDescent="0.25">
      <c r="A48" s="370"/>
      <c r="B48" s="371"/>
      <c r="C48" s="374" t="s">
        <v>169</v>
      </c>
      <c r="D48" s="375"/>
      <c r="E48" s="375"/>
      <c r="F48" s="375"/>
      <c r="G48" s="376"/>
      <c r="H48" s="377"/>
      <c r="I48" s="377"/>
      <c r="J48" s="378"/>
      <c r="K48" s="378"/>
      <c r="L48" s="201">
        <f>L47</f>
        <v>12810975.710949354</v>
      </c>
      <c r="M48" s="201">
        <f>M47+L48</f>
        <v>31770039.277373381</v>
      </c>
      <c r="N48" s="201">
        <f t="shared" ref="N48:BI48" si="64">N47+M48</f>
        <v>56362390.699272089</v>
      </c>
      <c r="O48" s="201">
        <f t="shared" si="64"/>
        <v>93250917.83212015</v>
      </c>
      <c r="P48" s="201">
        <f t="shared" si="64"/>
        <v>136287532.82044289</v>
      </c>
      <c r="Q48" s="201">
        <f t="shared" si="64"/>
        <v>185472235.6642403</v>
      </c>
      <c r="R48" s="201">
        <f t="shared" si="64"/>
        <v>246953114.21898705</v>
      </c>
      <c r="S48" s="201">
        <f t="shared" si="64"/>
        <v>308433992.77373379</v>
      </c>
      <c r="T48" s="201">
        <f t="shared" si="64"/>
        <v>376062959.18395519</v>
      </c>
      <c r="U48" s="201">
        <f t="shared" si="64"/>
        <v>437543837.73870194</v>
      </c>
      <c r="V48" s="201">
        <f t="shared" si="64"/>
        <v>499024716.29344869</v>
      </c>
      <c r="W48" s="201">
        <f t="shared" si="64"/>
        <v>548209419.13724613</v>
      </c>
      <c r="X48" s="201">
        <f t="shared" si="64"/>
        <v>585097946.27009416</v>
      </c>
      <c r="Y48" s="201">
        <f t="shared" si="64"/>
        <v>609690297.69199288</v>
      </c>
      <c r="Z48" s="201">
        <f t="shared" si="64"/>
        <v>615838385.54746759</v>
      </c>
      <c r="AA48" s="201">
        <f t="shared" si="64"/>
        <v>615838385.54746759</v>
      </c>
      <c r="AB48" s="201">
        <f t="shared" si="64"/>
        <v>615838385.54746759</v>
      </c>
      <c r="AC48" s="201">
        <f t="shared" si="64"/>
        <v>615838385.54746759</v>
      </c>
      <c r="AD48" s="201">
        <f t="shared" si="64"/>
        <v>615838385.54746759</v>
      </c>
      <c r="AE48" s="201">
        <f t="shared" si="64"/>
        <v>615838385.54746759</v>
      </c>
      <c r="AF48" s="201">
        <f t="shared" si="64"/>
        <v>615838385.54746759</v>
      </c>
      <c r="AG48" s="201">
        <f t="shared" si="64"/>
        <v>615838385.54746759</v>
      </c>
      <c r="AH48" s="201">
        <f t="shared" si="64"/>
        <v>615838385.54746759</v>
      </c>
      <c r="AI48" s="201">
        <f t="shared" si="64"/>
        <v>615838385.54746759</v>
      </c>
      <c r="AJ48" s="201">
        <f t="shared" si="64"/>
        <v>615838385.54746759</v>
      </c>
      <c r="AK48" s="201">
        <f t="shared" si="64"/>
        <v>615838385.54746759</v>
      </c>
      <c r="AL48" s="201">
        <f t="shared" si="64"/>
        <v>615838385.54746759</v>
      </c>
      <c r="AM48" s="201">
        <f t="shared" si="64"/>
        <v>615838385.54746759</v>
      </c>
      <c r="AN48" s="201">
        <f t="shared" si="64"/>
        <v>615838385.54746759</v>
      </c>
      <c r="AO48" s="201">
        <f t="shared" si="64"/>
        <v>615838385.54746759</v>
      </c>
      <c r="AP48" s="201">
        <f t="shared" si="64"/>
        <v>615838385.54746759</v>
      </c>
      <c r="AQ48" s="201">
        <f t="shared" si="64"/>
        <v>615838385.54746759</v>
      </c>
      <c r="AR48" s="201">
        <f t="shared" si="64"/>
        <v>615838385.54746759</v>
      </c>
      <c r="AS48" s="201">
        <f t="shared" si="64"/>
        <v>615838385.54746759</v>
      </c>
      <c r="AT48" s="201">
        <f t="shared" si="64"/>
        <v>615838385.54746759</v>
      </c>
      <c r="AU48" s="201">
        <f t="shared" si="64"/>
        <v>615838385.54746759</v>
      </c>
      <c r="AV48" s="201">
        <f t="shared" si="64"/>
        <v>615838385.54746759</v>
      </c>
      <c r="AW48" s="201">
        <f t="shared" si="64"/>
        <v>615838385.54746759</v>
      </c>
      <c r="AX48" s="201">
        <f t="shared" si="64"/>
        <v>615838385.54746759</v>
      </c>
      <c r="AY48" s="201">
        <f t="shared" si="64"/>
        <v>615838385.54746759</v>
      </c>
      <c r="AZ48" s="201">
        <f t="shared" si="64"/>
        <v>615838385.54746759</v>
      </c>
      <c r="BA48" s="201">
        <f t="shared" si="64"/>
        <v>615838385.54746759</v>
      </c>
      <c r="BB48" s="201">
        <f t="shared" si="64"/>
        <v>615838385.54746759</v>
      </c>
      <c r="BC48" s="201">
        <f t="shared" si="64"/>
        <v>615838385.54746759</v>
      </c>
      <c r="BD48" s="201">
        <f t="shared" si="64"/>
        <v>615838385.54746759</v>
      </c>
      <c r="BE48" s="201">
        <f t="shared" si="64"/>
        <v>615838385.54746759</v>
      </c>
      <c r="BF48" s="201">
        <f t="shared" si="64"/>
        <v>615838385.54746759</v>
      </c>
      <c r="BG48" s="201">
        <f t="shared" si="64"/>
        <v>615838385.54746759</v>
      </c>
      <c r="BH48" s="201">
        <f t="shared" si="64"/>
        <v>615838385.54746759</v>
      </c>
      <c r="BI48" s="201">
        <f t="shared" si="64"/>
        <v>615838385.54746759</v>
      </c>
    </row>
    <row r="49" spans="1:63" s="144" customFormat="1" ht="18" customHeight="1" x14ac:dyDescent="0.25">
      <c r="A49" s="370"/>
      <c r="B49" s="371"/>
      <c r="C49" s="374" t="s">
        <v>170</v>
      </c>
      <c r="D49" s="375"/>
      <c r="E49" s="375"/>
      <c r="F49" s="375"/>
      <c r="G49" s="376"/>
      <c r="H49" s="377"/>
      <c r="I49" s="377"/>
      <c r="J49" s="378"/>
      <c r="K49" s="378"/>
      <c r="L49" s="202">
        <f>L47/$I$47</f>
        <v>2.0802496258106189E-2</v>
      </c>
      <c r="M49" s="202">
        <f>M47/$I$47</f>
        <v>3.0785777586062303E-2</v>
      </c>
      <c r="N49" s="202">
        <f t="shared" ref="N49:BI49" si="65">N47/$I$47</f>
        <v>3.9933125311824483E-2</v>
      </c>
      <c r="O49" s="202">
        <f t="shared" si="65"/>
        <v>5.989968796773671E-2</v>
      </c>
      <c r="P49" s="202">
        <f t="shared" si="65"/>
        <v>6.9882969295692834E-2</v>
      </c>
      <c r="Q49" s="202">
        <f t="shared" si="65"/>
        <v>7.9866250623648966E-2</v>
      </c>
      <c r="R49" s="202">
        <f t="shared" si="65"/>
        <v>9.98328132795612E-2</v>
      </c>
      <c r="S49" s="202">
        <f t="shared" si="65"/>
        <v>9.98328132795612E-2</v>
      </c>
      <c r="T49" s="202">
        <f t="shared" si="65"/>
        <v>0.1098160946075173</v>
      </c>
      <c r="U49" s="202">
        <f t="shared" si="65"/>
        <v>9.98328132795612E-2</v>
      </c>
      <c r="V49" s="202">
        <f t="shared" si="65"/>
        <v>9.98328132795612E-2</v>
      </c>
      <c r="W49" s="202">
        <f t="shared" si="65"/>
        <v>7.9866250623648966E-2</v>
      </c>
      <c r="X49" s="202">
        <f t="shared" si="65"/>
        <v>5.989968796773671E-2</v>
      </c>
      <c r="Y49" s="202">
        <f t="shared" si="65"/>
        <v>3.9933125311824483E-2</v>
      </c>
      <c r="Z49" s="202">
        <f t="shared" si="65"/>
        <v>9.9832813279561207E-3</v>
      </c>
      <c r="AA49" s="202">
        <f t="shared" si="65"/>
        <v>0</v>
      </c>
      <c r="AB49" s="202">
        <f t="shared" si="65"/>
        <v>0</v>
      </c>
      <c r="AC49" s="202">
        <f t="shared" si="65"/>
        <v>0</v>
      </c>
      <c r="AD49" s="202">
        <f t="shared" si="65"/>
        <v>0</v>
      </c>
      <c r="AE49" s="202">
        <f t="shared" si="65"/>
        <v>0</v>
      </c>
      <c r="AF49" s="202">
        <f t="shared" si="65"/>
        <v>0</v>
      </c>
      <c r="AG49" s="202">
        <f t="shared" si="65"/>
        <v>0</v>
      </c>
      <c r="AH49" s="202">
        <f t="shared" si="65"/>
        <v>0</v>
      </c>
      <c r="AI49" s="202">
        <f t="shared" si="65"/>
        <v>0</v>
      </c>
      <c r="AJ49" s="202">
        <f t="shared" si="65"/>
        <v>0</v>
      </c>
      <c r="AK49" s="202">
        <f t="shared" si="65"/>
        <v>0</v>
      </c>
      <c r="AL49" s="202">
        <f t="shared" si="65"/>
        <v>0</v>
      </c>
      <c r="AM49" s="202">
        <f t="shared" si="65"/>
        <v>0</v>
      </c>
      <c r="AN49" s="202">
        <f t="shared" si="65"/>
        <v>0</v>
      </c>
      <c r="AO49" s="202">
        <f t="shared" si="65"/>
        <v>0</v>
      </c>
      <c r="AP49" s="202">
        <f t="shared" si="65"/>
        <v>0</v>
      </c>
      <c r="AQ49" s="202">
        <f t="shared" si="65"/>
        <v>0</v>
      </c>
      <c r="AR49" s="202">
        <f t="shared" si="65"/>
        <v>0</v>
      </c>
      <c r="AS49" s="202">
        <f t="shared" si="65"/>
        <v>0</v>
      </c>
      <c r="AT49" s="202">
        <f t="shared" si="65"/>
        <v>0</v>
      </c>
      <c r="AU49" s="202">
        <f t="shared" si="65"/>
        <v>0</v>
      </c>
      <c r="AV49" s="202">
        <f t="shared" si="65"/>
        <v>0</v>
      </c>
      <c r="AW49" s="202">
        <f t="shared" si="65"/>
        <v>0</v>
      </c>
      <c r="AX49" s="202">
        <f t="shared" si="65"/>
        <v>0</v>
      </c>
      <c r="AY49" s="202">
        <f t="shared" si="65"/>
        <v>0</v>
      </c>
      <c r="AZ49" s="202">
        <f t="shared" si="65"/>
        <v>0</v>
      </c>
      <c r="BA49" s="202">
        <f t="shared" si="65"/>
        <v>0</v>
      </c>
      <c r="BB49" s="202">
        <f t="shared" si="65"/>
        <v>0</v>
      </c>
      <c r="BC49" s="202">
        <f t="shared" si="65"/>
        <v>0</v>
      </c>
      <c r="BD49" s="202">
        <f t="shared" si="65"/>
        <v>0</v>
      </c>
      <c r="BE49" s="202">
        <f t="shared" si="65"/>
        <v>0</v>
      </c>
      <c r="BF49" s="202">
        <f t="shared" si="65"/>
        <v>0</v>
      </c>
      <c r="BG49" s="202">
        <f t="shared" si="65"/>
        <v>0</v>
      </c>
      <c r="BH49" s="202">
        <f t="shared" si="65"/>
        <v>0</v>
      </c>
      <c r="BI49" s="202">
        <f t="shared" si="65"/>
        <v>0</v>
      </c>
    </row>
    <row r="50" spans="1:63" s="144" customFormat="1" ht="18" customHeight="1" x14ac:dyDescent="0.25">
      <c r="A50" s="372"/>
      <c r="B50" s="373"/>
      <c r="C50" s="374" t="s">
        <v>171</v>
      </c>
      <c r="D50" s="375"/>
      <c r="E50" s="375"/>
      <c r="F50" s="375"/>
      <c r="G50" s="376"/>
      <c r="H50" s="377"/>
      <c r="I50" s="377"/>
      <c r="J50" s="378"/>
      <c r="K50" s="378"/>
      <c r="L50" s="202">
        <f t="shared" ref="L50" si="66">L49+K50</f>
        <v>2.0802496258106189E-2</v>
      </c>
      <c r="M50" s="202">
        <f t="shared" ref="M50" si="67">M49+L50</f>
        <v>5.1588273844168489E-2</v>
      </c>
      <c r="N50" s="202">
        <f t="shared" ref="N50" si="68">N49+M50</f>
        <v>9.1521399155992972E-2</v>
      </c>
      <c r="O50" s="202">
        <f t="shared" ref="O50" si="69">O49+N50</f>
        <v>0.15142108712372968</v>
      </c>
      <c r="P50" s="202">
        <f t="shared" ref="P50" si="70">P49+O50</f>
        <v>0.22130405641942252</v>
      </c>
      <c r="Q50" s="202">
        <f t="shared" ref="Q50" si="71">Q49+P50</f>
        <v>0.30117030704307146</v>
      </c>
      <c r="R50" s="202">
        <f t="shared" ref="R50" si="72">R49+Q50</f>
        <v>0.40100312032263263</v>
      </c>
      <c r="S50" s="202">
        <f t="shared" ref="S50" si="73">S49+R50</f>
        <v>0.50083593360219381</v>
      </c>
      <c r="T50" s="202">
        <f t="shared" ref="T50" si="74">T49+S50</f>
        <v>0.6106520282097111</v>
      </c>
      <c r="U50" s="202">
        <f t="shared" ref="U50" si="75">U49+T50</f>
        <v>0.71048484148927227</v>
      </c>
      <c r="V50" s="202">
        <f t="shared" ref="V50" si="76">V49+U50</f>
        <v>0.81031765476883344</v>
      </c>
      <c r="W50" s="202">
        <f t="shared" ref="W50" si="77">W49+V50</f>
        <v>0.89018390539248238</v>
      </c>
      <c r="X50" s="202">
        <f t="shared" ref="X50" si="78">X49+W50</f>
        <v>0.95008359336021908</v>
      </c>
      <c r="Y50" s="202">
        <f t="shared" ref="Y50" si="79">Y49+X50</f>
        <v>0.99001671867204355</v>
      </c>
      <c r="Z50" s="202">
        <f t="shared" ref="Z50" si="80">Z49+Y50</f>
        <v>0.99999999999999967</v>
      </c>
      <c r="AA50" s="202">
        <f t="shared" ref="AA50" si="81">AA49+Z50</f>
        <v>0.99999999999999967</v>
      </c>
      <c r="AB50" s="202">
        <f t="shared" ref="AB50" si="82">AB49+AA50</f>
        <v>0.99999999999999967</v>
      </c>
      <c r="AC50" s="202">
        <f t="shared" ref="AC50" si="83">AC49+AB50</f>
        <v>0.99999999999999967</v>
      </c>
      <c r="AD50" s="202">
        <f t="shared" ref="AD50" si="84">AD49+AC50</f>
        <v>0.99999999999999967</v>
      </c>
      <c r="AE50" s="202">
        <f t="shared" ref="AE50" si="85">AE49+AD50</f>
        <v>0.99999999999999967</v>
      </c>
      <c r="AF50" s="202">
        <f t="shared" ref="AF50" si="86">AF49+AE50</f>
        <v>0.99999999999999967</v>
      </c>
      <c r="AG50" s="202">
        <f t="shared" ref="AG50" si="87">AG49+AF50</f>
        <v>0.99999999999999967</v>
      </c>
      <c r="AH50" s="202">
        <f t="shared" ref="AH50" si="88">AH49+AG50</f>
        <v>0.99999999999999967</v>
      </c>
      <c r="AI50" s="202">
        <f t="shared" ref="AI50" si="89">AI49+AH50</f>
        <v>0.99999999999999967</v>
      </c>
      <c r="AJ50" s="202">
        <f t="shared" ref="AJ50" si="90">AJ49+AI50</f>
        <v>0.99999999999999967</v>
      </c>
      <c r="AK50" s="202">
        <f t="shared" ref="AK50" si="91">AK49+AJ50</f>
        <v>0.99999999999999967</v>
      </c>
      <c r="AL50" s="202">
        <f t="shared" ref="AL50" si="92">AL49+AK50</f>
        <v>0.99999999999999967</v>
      </c>
      <c r="AM50" s="202">
        <f t="shared" ref="AM50" si="93">AM49+AL50</f>
        <v>0.99999999999999967</v>
      </c>
      <c r="AN50" s="202">
        <f t="shared" ref="AN50" si="94">AN49+AM50</f>
        <v>0.99999999999999967</v>
      </c>
      <c r="AO50" s="202">
        <f t="shared" ref="AO50" si="95">AO49+AN50</f>
        <v>0.99999999999999967</v>
      </c>
      <c r="AP50" s="202">
        <f t="shared" ref="AP50" si="96">AP49+AO50</f>
        <v>0.99999999999999967</v>
      </c>
      <c r="AQ50" s="202">
        <f t="shared" ref="AQ50" si="97">AQ49+AP50</f>
        <v>0.99999999999999967</v>
      </c>
      <c r="AR50" s="202">
        <f t="shared" ref="AR50" si="98">AR49+AQ50</f>
        <v>0.99999999999999967</v>
      </c>
      <c r="AS50" s="202">
        <f t="shared" ref="AS50" si="99">AS49+AR50</f>
        <v>0.99999999999999967</v>
      </c>
      <c r="AT50" s="202">
        <f t="shared" ref="AT50" si="100">AT49+AS50</f>
        <v>0.99999999999999967</v>
      </c>
      <c r="AU50" s="202">
        <f t="shared" ref="AU50" si="101">AU49+AT50</f>
        <v>0.99999999999999967</v>
      </c>
      <c r="AV50" s="202">
        <f t="shared" ref="AV50" si="102">AV49+AU50</f>
        <v>0.99999999999999967</v>
      </c>
      <c r="AW50" s="202">
        <f t="shared" ref="AW50" si="103">AW49+AV50</f>
        <v>0.99999999999999967</v>
      </c>
      <c r="AX50" s="202">
        <f t="shared" ref="AX50" si="104">AX49+AW50</f>
        <v>0.99999999999999967</v>
      </c>
      <c r="AY50" s="202">
        <f t="shared" ref="AY50" si="105">AY49+AX50</f>
        <v>0.99999999999999967</v>
      </c>
      <c r="AZ50" s="202">
        <f t="shared" ref="AZ50" si="106">AZ49+AY50</f>
        <v>0.99999999999999967</v>
      </c>
      <c r="BA50" s="202">
        <f t="shared" ref="BA50" si="107">BA49+AZ50</f>
        <v>0.99999999999999967</v>
      </c>
      <c r="BB50" s="202">
        <f t="shared" ref="BB50" si="108">BB49+BA50</f>
        <v>0.99999999999999967</v>
      </c>
      <c r="BC50" s="202">
        <f t="shared" ref="BC50" si="109">BC49+BB50</f>
        <v>0.99999999999999967</v>
      </c>
      <c r="BD50" s="202">
        <f t="shared" ref="BD50" si="110">BD49+BC50</f>
        <v>0.99999999999999967</v>
      </c>
      <c r="BE50" s="202">
        <f t="shared" ref="BE50" si="111">BE49+BD50</f>
        <v>0.99999999999999967</v>
      </c>
      <c r="BF50" s="202">
        <f t="shared" ref="BF50" si="112">BF49+BE50</f>
        <v>0.99999999999999967</v>
      </c>
      <c r="BG50" s="202">
        <f t="shared" ref="BG50" si="113">BG49+BF50</f>
        <v>0.99999999999999967</v>
      </c>
      <c r="BH50" s="202">
        <f t="shared" ref="BH50" si="114">BH49+BG50</f>
        <v>0.99999999999999967</v>
      </c>
      <c r="BI50" s="202">
        <f t="shared" ref="BI50" si="115">BI49+BH50</f>
        <v>0.99999999999999967</v>
      </c>
    </row>
    <row r="51" spans="1:63" s="140" customFormat="1" ht="10.199999999999999" x14ac:dyDescent="0.25">
      <c r="I51" s="145"/>
      <c r="J51" s="145"/>
      <c r="K51" s="145"/>
      <c r="L51" s="146"/>
      <c r="M51" s="146"/>
      <c r="N51" s="146"/>
      <c r="O51" s="146"/>
      <c r="P51" s="146"/>
      <c r="Q51" s="146"/>
      <c r="R51" s="146"/>
      <c r="S51" s="146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  <c r="AW51" s="139"/>
      <c r="AX51" s="139"/>
      <c r="AY51" s="139"/>
      <c r="AZ51" s="139"/>
      <c r="BA51" s="139"/>
      <c r="BB51" s="139"/>
      <c r="BC51" s="139"/>
      <c r="BD51" s="139"/>
      <c r="BE51" s="139"/>
      <c r="BF51" s="139"/>
      <c r="BG51" s="139"/>
      <c r="BH51" s="139"/>
      <c r="BI51" s="139"/>
    </row>
    <row r="52" spans="1:63" s="140" customFormat="1" ht="10.199999999999999" x14ac:dyDescent="0.25">
      <c r="F52" s="208"/>
      <c r="I52" s="145"/>
      <c r="J52" s="145"/>
      <c r="K52" s="145"/>
      <c r="L52" s="146"/>
      <c r="M52" s="146"/>
      <c r="N52" s="146"/>
      <c r="O52" s="146"/>
      <c r="P52" s="146"/>
      <c r="Q52" s="146"/>
      <c r="R52" s="146"/>
      <c r="S52" s="146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39"/>
      <c r="AX52" s="139"/>
      <c r="AY52" s="139"/>
      <c r="AZ52" s="139"/>
      <c r="BA52" s="139"/>
      <c r="BB52" s="139"/>
      <c r="BC52" s="139"/>
      <c r="BD52" s="139"/>
      <c r="BE52" s="139"/>
      <c r="BF52" s="139"/>
      <c r="BG52" s="139"/>
      <c r="BH52" s="139"/>
      <c r="BI52" s="139"/>
    </row>
    <row r="53" spans="1:63" s="47" customFormat="1" ht="21.75" customHeight="1" x14ac:dyDescent="0.25">
      <c r="A53" s="155" t="s">
        <v>53</v>
      </c>
      <c r="B53" s="203" t="str">
        <f>Empreendimentos!A41</f>
        <v>JARDIM CHAMBORD</v>
      </c>
      <c r="C53" s="156"/>
      <c r="D53" s="156"/>
      <c r="E53" s="157"/>
      <c r="F53" s="216">
        <f>F54</f>
        <v>128940.25000000001</v>
      </c>
      <c r="G53" s="216">
        <f>G68</f>
        <v>77364.149999999994</v>
      </c>
      <c r="H53" s="213">
        <f>SUM(H54,H68)</f>
        <v>296562575</v>
      </c>
      <c r="I53" s="213">
        <f>SUM(I54,I68)</f>
        <v>600745717.33256829</v>
      </c>
      <c r="J53" s="198">
        <f>H53/$H$83</f>
        <v>1</v>
      </c>
      <c r="K53" s="198">
        <f>I53/$I$88</f>
        <v>1</v>
      </c>
      <c r="L53" s="158"/>
      <c r="M53" s="159"/>
      <c r="N53" s="159"/>
      <c r="O53" s="159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1"/>
      <c r="AH53" s="161"/>
      <c r="AI53" s="161"/>
      <c r="AJ53" s="161"/>
      <c r="AK53" s="161"/>
      <c r="AL53" s="161"/>
      <c r="AM53" s="161"/>
      <c r="AN53" s="161"/>
      <c r="AO53" s="161"/>
      <c r="AP53" s="161"/>
      <c r="AQ53" s="161"/>
      <c r="AR53" s="161"/>
      <c r="AS53" s="161"/>
      <c r="AT53" s="161"/>
      <c r="AU53" s="161"/>
      <c r="AV53" s="161"/>
      <c r="AW53" s="161"/>
      <c r="AX53" s="161"/>
      <c r="AY53" s="161"/>
      <c r="AZ53" s="161"/>
      <c r="BA53" s="161"/>
      <c r="BB53" s="161"/>
      <c r="BC53" s="161"/>
      <c r="BD53" s="161"/>
      <c r="BE53" s="161"/>
      <c r="BF53" s="161"/>
      <c r="BG53" s="161"/>
      <c r="BH53" s="161"/>
      <c r="BI53" s="162"/>
      <c r="BJ53" s="119">
        <f t="shared" ref="BJ53:BJ66" si="116">SUM(L53:BI53)</f>
        <v>0</v>
      </c>
      <c r="BK53" s="33"/>
    </row>
    <row r="54" spans="1:63" ht="21.75" customHeight="1" x14ac:dyDescent="0.25">
      <c r="A54" s="193" t="str">
        <f>Empreendimentos!B42</f>
        <v>JC</v>
      </c>
      <c r="B54" s="154" t="s">
        <v>228</v>
      </c>
      <c r="C54" s="170"/>
      <c r="D54" s="153"/>
      <c r="E54" s="172"/>
      <c r="F54" s="212">
        <f>SUM(F55:F66)</f>
        <v>128940.25000000001</v>
      </c>
      <c r="G54" s="212">
        <f>SUM(G55:G66)</f>
        <v>128940.25000000001</v>
      </c>
      <c r="H54" s="192">
        <f>SUM(H55:H67)</f>
        <v>296562575</v>
      </c>
      <c r="I54" s="192">
        <f>SUM(I55:I67)</f>
        <v>58023112.5</v>
      </c>
      <c r="J54" s="205">
        <f t="shared" ref="J54:J80" si="117">H54/$H$83</f>
        <v>1</v>
      </c>
      <c r="K54" s="205">
        <f t="shared" ref="K54:K80" si="118">I54/$I$88</f>
        <v>9.6585145471588682E-2</v>
      </c>
      <c r="L54" s="114"/>
      <c r="M54" s="115"/>
      <c r="N54" s="115"/>
      <c r="O54" s="115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C54" s="117"/>
      <c r="BD54" s="117"/>
      <c r="BE54" s="117"/>
      <c r="BF54" s="117"/>
      <c r="BG54" s="117"/>
      <c r="BH54" s="117"/>
      <c r="BI54" s="118"/>
      <c r="BJ54" s="119">
        <f t="shared" si="116"/>
        <v>0</v>
      </c>
      <c r="BK54" s="11"/>
    </row>
    <row r="55" spans="1:63" ht="21.75" customHeight="1" outlineLevel="1" x14ac:dyDescent="0.25">
      <c r="A55" s="209" t="str">
        <f>Empreendimentos!B43</f>
        <v>Q01</v>
      </c>
      <c r="B55" s="210" t="str">
        <f>Empreendimentos!C43</f>
        <v>Residencial unifamiliar</v>
      </c>
      <c r="C55" s="174" t="str">
        <f t="shared" ref="C55:C66" si="119">$C$344</f>
        <v>Lote Jardins</v>
      </c>
      <c r="D55" s="148"/>
      <c r="E55" s="173"/>
      <c r="F55" s="149">
        <f>Empreendimentos!H43</f>
        <v>3016.5200000000004</v>
      </c>
      <c r="G55" s="149">
        <f>F55</f>
        <v>3016.5200000000004</v>
      </c>
      <c r="H55" s="179">
        <f>F55*VLOOKUP(C55,$C$337:$E$351,2,FALSE)</f>
        <v>6937996.0000000009</v>
      </c>
      <c r="I55" s="180">
        <f t="shared" ref="I55:I66" si="120">G55*VLOOKUP(C55,$C$337:$E$344,3,FALSE)</f>
        <v>1357434.0000000002</v>
      </c>
      <c r="J55" s="204">
        <f t="shared" si="117"/>
        <v>2.3394711891748313E-2</v>
      </c>
      <c r="K55" s="204">
        <f t="shared" si="118"/>
        <v>2.2595816513304163E-3</v>
      </c>
      <c r="L55" s="123">
        <v>0.2</v>
      </c>
      <c r="M55" s="124">
        <v>0.5</v>
      </c>
      <c r="N55" s="124">
        <v>0.3</v>
      </c>
      <c r="O55" s="124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  <c r="BC55" s="126"/>
      <c r="BD55" s="126"/>
      <c r="BE55" s="126"/>
      <c r="BF55" s="126"/>
      <c r="BG55" s="126"/>
      <c r="BH55" s="126"/>
      <c r="BI55" s="127"/>
      <c r="BJ55" s="119">
        <f t="shared" si="116"/>
        <v>1</v>
      </c>
    </row>
    <row r="56" spans="1:63" ht="21.75" customHeight="1" outlineLevel="1" x14ac:dyDescent="0.25">
      <c r="A56" s="209" t="str">
        <f>Empreendimentos!B44</f>
        <v>Q02</v>
      </c>
      <c r="B56" s="210" t="str">
        <f>Empreendimentos!C44</f>
        <v>Residencial unifamiliar</v>
      </c>
      <c r="C56" s="174" t="str">
        <f t="shared" si="119"/>
        <v>Lote Jardins</v>
      </c>
      <c r="D56" s="148"/>
      <c r="E56" s="173"/>
      <c r="F56" s="149">
        <f>Empreendimentos!H44</f>
        <v>13591.310000000003</v>
      </c>
      <c r="G56" s="149">
        <f t="shared" ref="G56:G66" si="121">F56</f>
        <v>13591.310000000003</v>
      </c>
      <c r="H56" s="179">
        <f t="shared" ref="H56:H66" si="122">F56*VLOOKUP(C56,$C$337:$E$344,2,FALSE)</f>
        <v>31260013.000000007</v>
      </c>
      <c r="I56" s="180">
        <f t="shared" si="120"/>
        <v>6116089.5000000019</v>
      </c>
      <c r="J56" s="204">
        <f t="shared" si="117"/>
        <v>0.10540781485998363</v>
      </c>
      <c r="K56" s="204">
        <f t="shared" si="118"/>
        <v>1.0180829132093805E-2</v>
      </c>
      <c r="L56" s="123">
        <v>0.2</v>
      </c>
      <c r="M56" s="124">
        <v>0.5</v>
      </c>
      <c r="N56" s="124">
        <v>0.3</v>
      </c>
      <c r="O56" s="124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  <c r="BC56" s="126"/>
      <c r="BD56" s="126"/>
      <c r="BE56" s="126"/>
      <c r="BF56" s="126"/>
      <c r="BG56" s="126"/>
      <c r="BH56" s="126"/>
      <c r="BI56" s="127"/>
      <c r="BJ56" s="119">
        <f t="shared" si="116"/>
        <v>1</v>
      </c>
    </row>
    <row r="57" spans="1:63" ht="21.75" customHeight="1" outlineLevel="1" x14ac:dyDescent="0.25">
      <c r="A57" s="209" t="str">
        <f>Empreendimentos!B45</f>
        <v>Q03</v>
      </c>
      <c r="B57" s="210" t="str">
        <f>Empreendimentos!C45</f>
        <v>Residencial unifamiliar</v>
      </c>
      <c r="C57" s="174" t="str">
        <f t="shared" si="119"/>
        <v>Lote Jardins</v>
      </c>
      <c r="D57" s="148"/>
      <c r="E57" s="173"/>
      <c r="F57" s="149">
        <f>Empreendimentos!H45</f>
        <v>11309.04</v>
      </c>
      <c r="G57" s="149">
        <f t="shared" si="121"/>
        <v>11309.04</v>
      </c>
      <c r="H57" s="179">
        <f t="shared" si="122"/>
        <v>26010792.000000004</v>
      </c>
      <c r="I57" s="180">
        <f t="shared" si="120"/>
        <v>5089068</v>
      </c>
      <c r="J57" s="204">
        <f t="shared" si="117"/>
        <v>8.7707601001238963E-2</v>
      </c>
      <c r="K57" s="204">
        <f t="shared" si="118"/>
        <v>8.4712514016687199E-3</v>
      </c>
      <c r="L57" s="123">
        <v>0.2</v>
      </c>
      <c r="M57" s="124">
        <v>0.5</v>
      </c>
      <c r="N57" s="124">
        <v>0.3</v>
      </c>
      <c r="O57" s="124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  <c r="BC57" s="126"/>
      <c r="BD57" s="126"/>
      <c r="BE57" s="126"/>
      <c r="BF57" s="126"/>
      <c r="BG57" s="126"/>
      <c r="BH57" s="126"/>
      <c r="BI57" s="127"/>
      <c r="BJ57" s="119">
        <f t="shared" si="116"/>
        <v>1</v>
      </c>
    </row>
    <row r="58" spans="1:63" ht="21.75" customHeight="1" outlineLevel="1" x14ac:dyDescent="0.25">
      <c r="A58" s="209" t="str">
        <f>Empreendimentos!B46</f>
        <v>Q04</v>
      </c>
      <c r="B58" s="210" t="str">
        <f>Empreendimentos!C46</f>
        <v>Residencial unifamiliar</v>
      </c>
      <c r="C58" s="174" t="str">
        <f t="shared" si="119"/>
        <v>Lote Jardins</v>
      </c>
      <c r="D58" s="148"/>
      <c r="E58" s="173"/>
      <c r="F58" s="149">
        <f>Empreendimentos!H46</f>
        <v>13413.039999999999</v>
      </c>
      <c r="G58" s="149">
        <f t="shared" si="121"/>
        <v>13413.039999999999</v>
      </c>
      <c r="H58" s="179">
        <f t="shared" si="122"/>
        <v>30849991.999999996</v>
      </c>
      <c r="I58" s="180">
        <f t="shared" si="120"/>
        <v>6035868</v>
      </c>
      <c r="J58" s="204">
        <f t="shared" si="117"/>
        <v>0.10402523649519835</v>
      </c>
      <c r="K58" s="204">
        <f t="shared" si="118"/>
        <v>1.004729259960515E-2</v>
      </c>
      <c r="L58" s="123">
        <v>0.2</v>
      </c>
      <c r="M58" s="124">
        <v>0.5</v>
      </c>
      <c r="N58" s="124">
        <v>0.3</v>
      </c>
      <c r="O58" s="124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  <c r="BC58" s="126"/>
      <c r="BD58" s="126"/>
      <c r="BE58" s="126"/>
      <c r="BF58" s="126"/>
      <c r="BG58" s="126"/>
      <c r="BH58" s="126"/>
      <c r="BI58" s="127"/>
      <c r="BJ58" s="119">
        <f t="shared" si="116"/>
        <v>1</v>
      </c>
    </row>
    <row r="59" spans="1:63" ht="21.75" customHeight="1" outlineLevel="1" x14ac:dyDescent="0.25">
      <c r="A59" s="209" t="str">
        <f>Empreendimentos!B47</f>
        <v>Q05</v>
      </c>
      <c r="B59" s="210" t="str">
        <f>Empreendimentos!C47</f>
        <v>Residencial unifamiliar</v>
      </c>
      <c r="C59" s="174" t="str">
        <f t="shared" si="119"/>
        <v>Lote Jardins</v>
      </c>
      <c r="D59" s="148"/>
      <c r="E59" s="173"/>
      <c r="F59" s="149">
        <f>Empreendimentos!H47</f>
        <v>9773.57</v>
      </c>
      <c r="G59" s="149">
        <f t="shared" si="121"/>
        <v>9773.57</v>
      </c>
      <c r="H59" s="179">
        <f t="shared" si="122"/>
        <v>22479211</v>
      </c>
      <c r="I59" s="180">
        <f t="shared" si="120"/>
        <v>4398106.5</v>
      </c>
      <c r="J59" s="204">
        <f t="shared" si="117"/>
        <v>7.5799217079228556E-2</v>
      </c>
      <c r="K59" s="204">
        <f t="shared" si="118"/>
        <v>7.3210784082298197E-3</v>
      </c>
      <c r="L59" s="123">
        <v>0.2</v>
      </c>
      <c r="M59" s="124">
        <v>0.5</v>
      </c>
      <c r="N59" s="124">
        <v>0.3</v>
      </c>
      <c r="O59" s="124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6"/>
      <c r="AH59" s="126"/>
      <c r="AI59" s="126"/>
      <c r="AJ59" s="126"/>
      <c r="AK59" s="126"/>
      <c r="AL59" s="126"/>
      <c r="AM59" s="126"/>
      <c r="AN59" s="126"/>
      <c r="AO59" s="126"/>
      <c r="AP59" s="126"/>
      <c r="AQ59" s="126"/>
      <c r="AR59" s="126"/>
      <c r="AS59" s="126"/>
      <c r="AT59" s="126"/>
      <c r="AU59" s="126"/>
      <c r="AV59" s="126"/>
      <c r="AW59" s="126"/>
      <c r="AX59" s="126"/>
      <c r="AY59" s="126"/>
      <c r="AZ59" s="126"/>
      <c r="BA59" s="126"/>
      <c r="BB59" s="126"/>
      <c r="BC59" s="126"/>
      <c r="BD59" s="126"/>
      <c r="BE59" s="126"/>
      <c r="BF59" s="126"/>
      <c r="BG59" s="126"/>
      <c r="BH59" s="126"/>
      <c r="BI59" s="127"/>
      <c r="BJ59" s="119">
        <f t="shared" si="116"/>
        <v>1</v>
      </c>
    </row>
    <row r="60" spans="1:63" ht="21.75" customHeight="1" outlineLevel="1" x14ac:dyDescent="0.25">
      <c r="A60" s="209" t="str">
        <f>Empreendimentos!B48</f>
        <v>Q06</v>
      </c>
      <c r="B60" s="210" t="str">
        <f>Empreendimentos!C48</f>
        <v>Residencial unifamiliar</v>
      </c>
      <c r="C60" s="174" t="str">
        <f t="shared" si="119"/>
        <v>Lote Jardins</v>
      </c>
      <c r="D60" s="148"/>
      <c r="E60" s="173"/>
      <c r="F60" s="149">
        <f>Empreendimentos!H48</f>
        <v>4375.6900000000005</v>
      </c>
      <c r="G60" s="149">
        <f t="shared" si="121"/>
        <v>4375.6900000000005</v>
      </c>
      <c r="H60" s="179">
        <f t="shared" si="122"/>
        <v>10064087.000000002</v>
      </c>
      <c r="I60" s="180">
        <f t="shared" si="120"/>
        <v>1969060.5000000002</v>
      </c>
      <c r="J60" s="204">
        <f t="shared" si="117"/>
        <v>3.3935795843423606E-2</v>
      </c>
      <c r="K60" s="204">
        <f t="shared" si="118"/>
        <v>3.2776937782312034E-3</v>
      </c>
      <c r="L60" s="123">
        <v>0.2</v>
      </c>
      <c r="M60" s="124">
        <v>0.5</v>
      </c>
      <c r="N60" s="124">
        <v>0.3</v>
      </c>
      <c r="O60" s="124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6"/>
      <c r="AH60" s="126"/>
      <c r="AI60" s="126"/>
      <c r="AJ60" s="126"/>
      <c r="AK60" s="126"/>
      <c r="AL60" s="126"/>
      <c r="AM60" s="126"/>
      <c r="AN60" s="126"/>
      <c r="AO60" s="126"/>
      <c r="AP60" s="126"/>
      <c r="AQ60" s="126"/>
      <c r="AR60" s="126"/>
      <c r="AS60" s="126"/>
      <c r="AT60" s="126"/>
      <c r="AU60" s="126"/>
      <c r="AV60" s="126"/>
      <c r="AW60" s="126"/>
      <c r="AX60" s="126"/>
      <c r="AY60" s="126"/>
      <c r="AZ60" s="126"/>
      <c r="BA60" s="126"/>
      <c r="BB60" s="126"/>
      <c r="BC60" s="126"/>
      <c r="BD60" s="126"/>
      <c r="BE60" s="126"/>
      <c r="BF60" s="126"/>
      <c r="BG60" s="126"/>
      <c r="BH60" s="126"/>
      <c r="BI60" s="127"/>
      <c r="BJ60" s="119">
        <f t="shared" si="116"/>
        <v>1</v>
      </c>
    </row>
    <row r="61" spans="1:63" ht="21.75" customHeight="1" outlineLevel="1" x14ac:dyDescent="0.25">
      <c r="A61" s="209" t="str">
        <f>Empreendimentos!B49</f>
        <v>Q07</v>
      </c>
      <c r="B61" s="210" t="str">
        <f>Empreendimentos!C49</f>
        <v>Residencial unifamiliar</v>
      </c>
      <c r="C61" s="174" t="str">
        <f t="shared" si="119"/>
        <v>Lote Jardins</v>
      </c>
      <c r="D61" s="148"/>
      <c r="E61" s="173"/>
      <c r="F61" s="149">
        <f>Empreendimentos!H49</f>
        <v>8179.16</v>
      </c>
      <c r="G61" s="149">
        <f t="shared" si="121"/>
        <v>8179.16</v>
      </c>
      <c r="H61" s="179">
        <f t="shared" si="122"/>
        <v>18812068</v>
      </c>
      <c r="I61" s="180">
        <f t="shared" si="120"/>
        <v>3680622</v>
      </c>
      <c r="J61" s="204">
        <f t="shared" si="117"/>
        <v>6.3433722208542334E-2</v>
      </c>
      <c r="K61" s="204">
        <f t="shared" si="118"/>
        <v>6.1267552873164061E-3</v>
      </c>
      <c r="L61" s="123">
        <v>0.2</v>
      </c>
      <c r="M61" s="124">
        <v>0.5</v>
      </c>
      <c r="N61" s="124">
        <v>0.3</v>
      </c>
      <c r="O61" s="124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7"/>
      <c r="BJ61" s="119">
        <f t="shared" si="116"/>
        <v>1</v>
      </c>
    </row>
    <row r="62" spans="1:63" ht="21.75" customHeight="1" outlineLevel="1" x14ac:dyDescent="0.25">
      <c r="A62" s="209" t="str">
        <f>Empreendimentos!B50</f>
        <v>Q08</v>
      </c>
      <c r="B62" s="210" t="str">
        <f>Empreendimentos!C50</f>
        <v>Residencial unifamiliar</v>
      </c>
      <c r="C62" s="174" t="str">
        <f t="shared" si="119"/>
        <v>Lote Jardins</v>
      </c>
      <c r="D62" s="148"/>
      <c r="E62" s="173"/>
      <c r="F62" s="149">
        <f>Empreendimentos!H50</f>
        <v>13461.880000000008</v>
      </c>
      <c r="G62" s="149">
        <f t="shared" si="121"/>
        <v>13461.880000000008</v>
      </c>
      <c r="H62" s="179">
        <f t="shared" si="122"/>
        <v>30962324.000000019</v>
      </c>
      <c r="I62" s="180">
        <f t="shared" si="120"/>
        <v>6057846.0000000037</v>
      </c>
      <c r="J62" s="204">
        <f t="shared" si="117"/>
        <v>0.10440401658907911</v>
      </c>
      <c r="K62" s="204">
        <f t="shared" si="118"/>
        <v>1.0083877130074364E-2</v>
      </c>
      <c r="L62" s="123">
        <v>0.2</v>
      </c>
      <c r="M62" s="124">
        <v>0.5</v>
      </c>
      <c r="N62" s="124">
        <v>0.3</v>
      </c>
      <c r="O62" s="124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6"/>
      <c r="AH62" s="126"/>
      <c r="AI62" s="126"/>
      <c r="AJ62" s="126"/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26"/>
      <c r="AV62" s="126"/>
      <c r="AW62" s="126"/>
      <c r="AX62" s="126"/>
      <c r="AY62" s="126"/>
      <c r="AZ62" s="126"/>
      <c r="BA62" s="126"/>
      <c r="BB62" s="126"/>
      <c r="BC62" s="126"/>
      <c r="BD62" s="126"/>
      <c r="BE62" s="126"/>
      <c r="BF62" s="126"/>
      <c r="BG62" s="126"/>
      <c r="BH62" s="126"/>
      <c r="BI62" s="127"/>
      <c r="BJ62" s="119">
        <f t="shared" si="116"/>
        <v>1</v>
      </c>
    </row>
    <row r="63" spans="1:63" ht="21.75" customHeight="1" outlineLevel="1" x14ac:dyDescent="0.25">
      <c r="A63" s="209" t="str">
        <f>Empreendimentos!B51</f>
        <v>Q09</v>
      </c>
      <c r="B63" s="210" t="str">
        <f>Empreendimentos!C51</f>
        <v>Residencial unifamiliar</v>
      </c>
      <c r="C63" s="174" t="str">
        <f t="shared" si="119"/>
        <v>Lote Jardins</v>
      </c>
      <c r="D63" s="148"/>
      <c r="E63" s="173"/>
      <c r="F63" s="149">
        <f>Empreendimentos!H51</f>
        <v>19718.740000000002</v>
      </c>
      <c r="G63" s="149">
        <f t="shared" si="121"/>
        <v>19718.740000000002</v>
      </c>
      <c r="H63" s="179">
        <f t="shared" si="122"/>
        <v>45353102</v>
      </c>
      <c r="I63" s="180">
        <f t="shared" si="120"/>
        <v>8873433</v>
      </c>
      <c r="J63" s="204">
        <f t="shared" si="117"/>
        <v>0.15292928313695683</v>
      </c>
      <c r="K63" s="204">
        <f t="shared" si="118"/>
        <v>1.477069705864875E-2</v>
      </c>
      <c r="L63" s="123">
        <v>0.2</v>
      </c>
      <c r="M63" s="124">
        <v>0.5</v>
      </c>
      <c r="N63" s="124">
        <v>0.3</v>
      </c>
      <c r="O63" s="124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6"/>
      <c r="AH63" s="126"/>
      <c r="AI63" s="126"/>
      <c r="AJ63" s="126"/>
      <c r="AK63" s="126"/>
      <c r="AL63" s="126"/>
      <c r="AM63" s="126"/>
      <c r="AN63" s="126"/>
      <c r="AO63" s="126"/>
      <c r="AP63" s="126"/>
      <c r="AQ63" s="126"/>
      <c r="AR63" s="126"/>
      <c r="AS63" s="126"/>
      <c r="AT63" s="126"/>
      <c r="AU63" s="126"/>
      <c r="AV63" s="126"/>
      <c r="AW63" s="126"/>
      <c r="AX63" s="126"/>
      <c r="AY63" s="126"/>
      <c r="AZ63" s="126"/>
      <c r="BA63" s="126"/>
      <c r="BB63" s="126"/>
      <c r="BC63" s="126"/>
      <c r="BD63" s="126"/>
      <c r="BE63" s="126"/>
      <c r="BF63" s="126"/>
      <c r="BG63" s="126"/>
      <c r="BH63" s="126"/>
      <c r="BI63" s="127"/>
      <c r="BJ63" s="119">
        <f t="shared" si="116"/>
        <v>1</v>
      </c>
    </row>
    <row r="64" spans="1:63" ht="21.75" customHeight="1" outlineLevel="1" x14ac:dyDescent="0.25">
      <c r="A64" s="209" t="str">
        <f>Empreendimentos!B52</f>
        <v>Q10</v>
      </c>
      <c r="B64" s="210" t="str">
        <f>Empreendimentos!C52</f>
        <v>Residencial unifamiliar</v>
      </c>
      <c r="C64" s="174" t="str">
        <f t="shared" si="119"/>
        <v>Lote Jardins</v>
      </c>
      <c r="D64" s="148"/>
      <c r="E64" s="173"/>
      <c r="F64" s="149">
        <f>Empreendimentos!H52</f>
        <v>10936.27</v>
      </c>
      <c r="G64" s="149">
        <f t="shared" si="121"/>
        <v>10936.27</v>
      </c>
      <c r="H64" s="179">
        <f t="shared" si="122"/>
        <v>25153421</v>
      </c>
      <c r="I64" s="180">
        <f t="shared" si="120"/>
        <v>4921321.5</v>
      </c>
      <c r="J64" s="204">
        <f t="shared" si="117"/>
        <v>8.4816572016883793E-2</v>
      </c>
      <c r="K64" s="204">
        <f t="shared" si="118"/>
        <v>8.1920209466521988E-3</v>
      </c>
      <c r="L64" s="123">
        <v>0.2</v>
      </c>
      <c r="M64" s="124">
        <v>0.5</v>
      </c>
      <c r="N64" s="124">
        <v>0.3</v>
      </c>
      <c r="O64" s="124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6"/>
      <c r="AH64" s="126"/>
      <c r="AI64" s="126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26"/>
      <c r="AV64" s="126"/>
      <c r="AW64" s="126"/>
      <c r="AX64" s="126"/>
      <c r="AY64" s="126"/>
      <c r="AZ64" s="126"/>
      <c r="BA64" s="126"/>
      <c r="BB64" s="126"/>
      <c r="BC64" s="126"/>
      <c r="BD64" s="126"/>
      <c r="BE64" s="126"/>
      <c r="BF64" s="126"/>
      <c r="BG64" s="126"/>
      <c r="BH64" s="126"/>
      <c r="BI64" s="127"/>
      <c r="BJ64" s="119">
        <f t="shared" si="116"/>
        <v>1</v>
      </c>
    </row>
    <row r="65" spans="1:63" ht="21.75" customHeight="1" outlineLevel="1" x14ac:dyDescent="0.25">
      <c r="A65" s="209" t="str">
        <f>Empreendimentos!B53</f>
        <v>Q11</v>
      </c>
      <c r="B65" s="210" t="str">
        <f>Empreendimentos!C53</f>
        <v>Residencial unifamiliar</v>
      </c>
      <c r="C65" s="174" t="str">
        <f t="shared" si="119"/>
        <v>Lote Jardins</v>
      </c>
      <c r="D65" s="148"/>
      <c r="E65" s="173"/>
      <c r="F65" s="149">
        <f>Empreendimentos!H53</f>
        <v>16339.54</v>
      </c>
      <c r="G65" s="149">
        <f t="shared" si="121"/>
        <v>16339.54</v>
      </c>
      <c r="H65" s="179">
        <f t="shared" si="122"/>
        <v>37580942</v>
      </c>
      <c r="I65" s="180">
        <f t="shared" si="120"/>
        <v>7352793</v>
      </c>
      <c r="J65" s="204">
        <f t="shared" si="117"/>
        <v>0.12672179556034674</v>
      </c>
      <c r="K65" s="204">
        <f t="shared" si="118"/>
        <v>1.2239443058617011E-2</v>
      </c>
      <c r="L65" s="123">
        <v>0.2</v>
      </c>
      <c r="M65" s="124">
        <v>0.5</v>
      </c>
      <c r="N65" s="124">
        <v>0.3</v>
      </c>
      <c r="O65" s="124"/>
      <c r="P65" s="125"/>
      <c r="Q65" s="125"/>
      <c r="R65" s="125"/>
      <c r="S65" s="125"/>
      <c r="T65" s="125"/>
      <c r="U65" s="125"/>
      <c r="V65" s="125"/>
      <c r="W65" s="125"/>
      <c r="X65" s="126"/>
      <c r="Y65" s="125"/>
      <c r="Z65" s="125"/>
      <c r="AA65" s="125"/>
      <c r="AB65" s="125"/>
      <c r="AC65" s="125"/>
      <c r="AD65" s="125"/>
      <c r="AE65" s="125"/>
      <c r="AF65" s="125"/>
      <c r="AG65" s="126"/>
      <c r="AH65" s="126"/>
      <c r="AI65" s="126"/>
      <c r="AJ65" s="126"/>
      <c r="AK65" s="126"/>
      <c r="AL65" s="126"/>
      <c r="AM65" s="126"/>
      <c r="AN65" s="126"/>
      <c r="AO65" s="126"/>
      <c r="AP65" s="126"/>
      <c r="AQ65" s="126"/>
      <c r="AR65" s="126"/>
      <c r="AS65" s="126"/>
      <c r="AT65" s="126"/>
      <c r="AU65" s="126"/>
      <c r="AV65" s="126"/>
      <c r="AW65" s="126"/>
      <c r="AX65" s="126"/>
      <c r="AY65" s="126"/>
      <c r="AZ65" s="126"/>
      <c r="BA65" s="126"/>
      <c r="BB65" s="126"/>
      <c r="BC65" s="126"/>
      <c r="BD65" s="126"/>
      <c r="BE65" s="126"/>
      <c r="BF65" s="126"/>
      <c r="BG65" s="126"/>
      <c r="BH65" s="126"/>
      <c r="BI65" s="127"/>
      <c r="BJ65" s="119">
        <f t="shared" si="116"/>
        <v>1</v>
      </c>
    </row>
    <row r="66" spans="1:63" ht="21.75" customHeight="1" outlineLevel="1" x14ac:dyDescent="0.25">
      <c r="A66" s="209" t="str">
        <f>Empreendimentos!B54</f>
        <v>Q12</v>
      </c>
      <c r="B66" s="210" t="str">
        <f>Empreendimentos!C54</f>
        <v>Residencial unifamiliar</v>
      </c>
      <c r="C66" s="174" t="str">
        <f t="shared" si="119"/>
        <v>Lote Jardins</v>
      </c>
      <c r="D66" s="148"/>
      <c r="E66" s="173"/>
      <c r="F66" s="149">
        <f>Empreendimentos!H54</f>
        <v>4825.49</v>
      </c>
      <c r="G66" s="149">
        <f t="shared" si="121"/>
        <v>4825.49</v>
      </c>
      <c r="H66" s="179">
        <f t="shared" si="122"/>
        <v>11098627</v>
      </c>
      <c r="I66" s="180">
        <f t="shared" si="120"/>
        <v>2171470.5</v>
      </c>
      <c r="J66" s="204">
        <f t="shared" si="117"/>
        <v>3.7424233317369868E-2</v>
      </c>
      <c r="K66" s="204">
        <f t="shared" si="118"/>
        <v>3.6146250191208444E-3</v>
      </c>
      <c r="L66" s="123">
        <v>0.2</v>
      </c>
      <c r="M66" s="124">
        <v>0.5</v>
      </c>
      <c r="N66" s="124">
        <v>0.3</v>
      </c>
      <c r="O66" s="124"/>
      <c r="P66" s="125"/>
      <c r="Q66" s="125"/>
      <c r="R66" s="125"/>
      <c r="S66" s="125"/>
      <c r="T66" s="125"/>
      <c r="U66" s="125"/>
      <c r="V66" s="125"/>
      <c r="W66" s="125"/>
      <c r="X66" s="126"/>
      <c r="Y66" s="125"/>
      <c r="Z66" s="125"/>
      <c r="AA66" s="125"/>
      <c r="AB66" s="125"/>
      <c r="AC66" s="125"/>
      <c r="AD66" s="125"/>
      <c r="AE66" s="125"/>
      <c r="AF66" s="125"/>
      <c r="AG66" s="126"/>
      <c r="AH66" s="126"/>
      <c r="AI66" s="126"/>
      <c r="AJ66" s="126"/>
      <c r="AK66" s="126"/>
      <c r="AL66" s="126"/>
      <c r="AM66" s="126"/>
      <c r="AN66" s="126"/>
      <c r="AO66" s="126"/>
      <c r="AP66" s="126"/>
      <c r="AQ66" s="126"/>
      <c r="AR66" s="126"/>
      <c r="AS66" s="126"/>
      <c r="AT66" s="126"/>
      <c r="AU66" s="126"/>
      <c r="AV66" s="126"/>
      <c r="AW66" s="126"/>
      <c r="AX66" s="126"/>
      <c r="AY66" s="126"/>
      <c r="AZ66" s="126"/>
      <c r="BA66" s="126"/>
      <c r="BB66" s="126"/>
      <c r="BC66" s="126"/>
      <c r="BD66" s="126"/>
      <c r="BE66" s="126"/>
      <c r="BF66" s="126"/>
      <c r="BG66" s="126"/>
      <c r="BH66" s="126"/>
      <c r="BI66" s="127"/>
      <c r="BJ66" s="119">
        <f t="shared" si="116"/>
        <v>1</v>
      </c>
    </row>
    <row r="67" spans="1:63" ht="8.4" customHeight="1" x14ac:dyDescent="0.25">
      <c r="A67" s="209"/>
      <c r="B67" s="210"/>
      <c r="C67" s="174"/>
      <c r="D67" s="148"/>
      <c r="E67" s="173"/>
      <c r="F67" s="149"/>
      <c r="G67" s="149"/>
      <c r="H67" s="179"/>
      <c r="I67" s="180"/>
      <c r="J67" s="204">
        <f t="shared" si="117"/>
        <v>0</v>
      </c>
      <c r="K67" s="204">
        <f t="shared" si="118"/>
        <v>0</v>
      </c>
      <c r="L67" s="123"/>
      <c r="M67" s="124"/>
      <c r="N67" s="124"/>
      <c r="O67" s="124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26"/>
      <c r="AI67" s="126"/>
      <c r="AJ67" s="126"/>
      <c r="AK67" s="126"/>
      <c r="AL67" s="126"/>
      <c r="AM67" s="126"/>
      <c r="AN67" s="126"/>
      <c r="AO67" s="126"/>
      <c r="AP67" s="126"/>
      <c r="AQ67" s="126"/>
      <c r="AR67" s="126"/>
      <c r="AS67" s="126"/>
      <c r="AT67" s="126"/>
      <c r="AU67" s="126"/>
      <c r="AV67" s="126"/>
      <c r="AW67" s="126"/>
      <c r="AX67" s="126"/>
      <c r="AY67" s="126"/>
      <c r="AZ67" s="126"/>
      <c r="BA67" s="126"/>
      <c r="BB67" s="126"/>
      <c r="BC67" s="126"/>
      <c r="BD67" s="126"/>
      <c r="BE67" s="126"/>
      <c r="BF67" s="126"/>
      <c r="BG67" s="126"/>
      <c r="BH67" s="126"/>
      <c r="BI67" s="127"/>
      <c r="BJ67" s="119"/>
    </row>
    <row r="68" spans="1:63" ht="21.75" customHeight="1" x14ac:dyDescent="0.25">
      <c r="A68" s="193" t="str">
        <f>Empreendimentos!B42</f>
        <v>JC</v>
      </c>
      <c r="B68" s="154" t="s">
        <v>229</v>
      </c>
      <c r="C68" s="170"/>
      <c r="D68" s="153"/>
      <c r="E68" s="172"/>
      <c r="F68" s="212"/>
      <c r="G68" s="212">
        <f>SUM(G69:G80)</f>
        <v>77364.149999999994</v>
      </c>
      <c r="H68" s="192">
        <f>SUM(H69:H81)</f>
        <v>0</v>
      </c>
      <c r="I68" s="192">
        <f>SUM(I69:I81)</f>
        <v>542722604.83256829</v>
      </c>
      <c r="J68" s="205">
        <f t="shared" si="117"/>
        <v>0</v>
      </c>
      <c r="K68" s="205">
        <f t="shared" si="118"/>
        <v>0.9034148545284113</v>
      </c>
      <c r="L68" s="114"/>
      <c r="M68" s="115"/>
      <c r="N68" s="115"/>
      <c r="O68" s="115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7"/>
      <c r="AH68" s="117"/>
      <c r="AI68" s="117"/>
      <c r="AJ68" s="117"/>
      <c r="AK68" s="117"/>
      <c r="AL68" s="117"/>
      <c r="AM68" s="117"/>
      <c r="AN68" s="117"/>
      <c r="AO68" s="117"/>
      <c r="AP68" s="117"/>
      <c r="AQ68" s="117"/>
      <c r="AR68" s="117"/>
      <c r="AS68" s="117"/>
      <c r="AT68" s="117"/>
      <c r="AU68" s="117"/>
      <c r="AV68" s="117"/>
      <c r="AW68" s="117"/>
      <c r="AX68" s="117"/>
      <c r="AY68" s="117"/>
      <c r="AZ68" s="117"/>
      <c r="BA68" s="117"/>
      <c r="BB68" s="117"/>
      <c r="BC68" s="117"/>
      <c r="BD68" s="117"/>
      <c r="BE68" s="117"/>
      <c r="BF68" s="117"/>
      <c r="BG68" s="117"/>
      <c r="BH68" s="117"/>
      <c r="BI68" s="118"/>
      <c r="BJ68" s="119"/>
      <c r="BK68" s="11"/>
    </row>
    <row r="69" spans="1:63" ht="21.75" customHeight="1" outlineLevel="1" x14ac:dyDescent="0.25">
      <c r="A69" s="209" t="str">
        <f>Empreendimentos!B43</f>
        <v>Q01</v>
      </c>
      <c r="B69" s="210" t="str">
        <f>Empreendimentos!C43</f>
        <v>Residencial unifamiliar</v>
      </c>
      <c r="C69" s="174" t="str">
        <f t="shared" ref="C69:C80" si="123">$C$345</f>
        <v>Residências</v>
      </c>
      <c r="D69" s="148">
        <f>Empreendimentos!J43</f>
        <v>5</v>
      </c>
      <c r="E69" s="173">
        <f>Empreendimentos!K43</f>
        <v>603.30400000000009</v>
      </c>
      <c r="F69" s="149"/>
      <c r="G69" s="149">
        <f>D69*E69*0.6</f>
        <v>1809.9120000000003</v>
      </c>
      <c r="H69" s="179">
        <f t="shared" ref="H69:H80" si="124">F69*VLOOKUP(C69,$C$337:$E$351,2,FALSE)</f>
        <v>0</v>
      </c>
      <c r="I69" s="180">
        <f t="shared" ref="I69:I80" si="125">G69*VLOOKUP(C69,$C$337:$E$351,3,FALSE)</f>
        <v>12696838.977197103</v>
      </c>
      <c r="J69" s="204">
        <f t="shared" si="117"/>
        <v>0</v>
      </c>
      <c r="K69" s="204">
        <f t="shared" si="118"/>
        <v>2.1135130240417892E-2</v>
      </c>
      <c r="L69" s="123"/>
      <c r="M69" s="124"/>
      <c r="N69" s="124">
        <v>0.05</v>
      </c>
      <c r="O69" s="128">
        <v>0.06</v>
      </c>
      <c r="P69" s="128">
        <v>0.08</v>
      </c>
      <c r="Q69" s="128">
        <v>0.09</v>
      </c>
      <c r="R69" s="129">
        <v>0.1</v>
      </c>
      <c r="S69" s="129">
        <v>0.12</v>
      </c>
      <c r="T69" s="129">
        <v>0.1</v>
      </c>
      <c r="U69" s="129">
        <v>0.08</v>
      </c>
      <c r="V69" s="129">
        <v>0.06</v>
      </c>
      <c r="W69" s="129">
        <v>0.05</v>
      </c>
      <c r="X69" s="129">
        <v>0.05</v>
      </c>
      <c r="Y69" s="129">
        <v>0.04</v>
      </c>
      <c r="Z69" s="129">
        <v>0.04</v>
      </c>
      <c r="AA69" s="129">
        <v>0.03</v>
      </c>
      <c r="AB69" s="129">
        <v>0.03</v>
      </c>
      <c r="AC69" s="129">
        <v>0.02</v>
      </c>
      <c r="AD69" s="125"/>
      <c r="AE69" s="125"/>
      <c r="AF69" s="125"/>
      <c r="AG69" s="126"/>
      <c r="AH69" s="126"/>
      <c r="AI69" s="126"/>
      <c r="AJ69" s="126"/>
      <c r="AK69" s="126"/>
      <c r="AL69" s="126"/>
      <c r="AM69" s="126"/>
      <c r="AN69" s="126"/>
      <c r="AO69" s="126"/>
      <c r="AP69" s="126"/>
      <c r="AQ69" s="126"/>
      <c r="AR69" s="126"/>
      <c r="AS69" s="126"/>
      <c r="AT69" s="126"/>
      <c r="AU69" s="126"/>
      <c r="AV69" s="126"/>
      <c r="AW69" s="126"/>
      <c r="AX69" s="126"/>
      <c r="AY69" s="126"/>
      <c r="AZ69" s="126"/>
      <c r="BA69" s="126"/>
      <c r="BB69" s="126"/>
      <c r="BC69" s="126"/>
      <c r="BD69" s="126"/>
      <c r="BE69" s="126"/>
      <c r="BF69" s="126"/>
      <c r="BG69" s="126"/>
      <c r="BH69" s="126"/>
      <c r="BI69" s="127"/>
      <c r="BJ69" s="119">
        <f t="shared" ref="BJ69:BJ80" si="126">SUM(L69:BI69)</f>
        <v>1.0000000000000002</v>
      </c>
    </row>
    <row r="70" spans="1:63" ht="21.75" customHeight="1" outlineLevel="1" x14ac:dyDescent="0.25">
      <c r="A70" s="209" t="str">
        <f>Empreendimentos!B44</f>
        <v>Q02</v>
      </c>
      <c r="B70" s="210" t="str">
        <f>Empreendimentos!C44</f>
        <v>Residencial unifamiliar</v>
      </c>
      <c r="C70" s="174" t="str">
        <f t="shared" si="123"/>
        <v>Residências</v>
      </c>
      <c r="D70" s="148">
        <f>Empreendimentos!J44</f>
        <v>22</v>
      </c>
      <c r="E70" s="173">
        <f>Empreendimentos!K44</f>
        <v>617.78681818181838</v>
      </c>
      <c r="F70" s="149"/>
      <c r="G70" s="149">
        <f t="shared" ref="G70:G80" si="127">D70*E70*0.6</f>
        <v>8154.7860000000028</v>
      </c>
      <c r="H70" s="179">
        <f t="shared" si="124"/>
        <v>0</v>
      </c>
      <c r="I70" s="180">
        <f t="shared" si="125"/>
        <v>57207203.850519404</v>
      </c>
      <c r="J70" s="204">
        <f t="shared" si="117"/>
        <v>0</v>
      </c>
      <c r="K70" s="204">
        <f t="shared" si="118"/>
        <v>9.5226985727889804E-2</v>
      </c>
      <c r="L70" s="123"/>
      <c r="M70" s="124"/>
      <c r="N70" s="124">
        <v>0.05</v>
      </c>
      <c r="O70" s="128">
        <v>0.06</v>
      </c>
      <c r="P70" s="128">
        <v>0.08</v>
      </c>
      <c r="Q70" s="128">
        <v>0.09</v>
      </c>
      <c r="R70" s="129">
        <v>0.1</v>
      </c>
      <c r="S70" s="129">
        <v>0.12</v>
      </c>
      <c r="T70" s="129">
        <v>0.1</v>
      </c>
      <c r="U70" s="129">
        <v>0.08</v>
      </c>
      <c r="V70" s="129">
        <v>0.06</v>
      </c>
      <c r="W70" s="129">
        <v>0.05</v>
      </c>
      <c r="X70" s="129">
        <v>0.05</v>
      </c>
      <c r="Y70" s="129">
        <v>0.04</v>
      </c>
      <c r="Z70" s="129">
        <v>0.04</v>
      </c>
      <c r="AA70" s="129">
        <v>0.03</v>
      </c>
      <c r="AB70" s="129">
        <v>0.03</v>
      </c>
      <c r="AC70" s="129">
        <v>0.02</v>
      </c>
      <c r="AD70" s="125"/>
      <c r="AE70" s="125"/>
      <c r="AF70" s="125"/>
      <c r="AG70" s="126"/>
      <c r="AH70" s="126"/>
      <c r="AI70" s="126"/>
      <c r="AJ70" s="126"/>
      <c r="AK70" s="126"/>
      <c r="AL70" s="126"/>
      <c r="AM70" s="126"/>
      <c r="AN70" s="126"/>
      <c r="AO70" s="126"/>
      <c r="AP70" s="126"/>
      <c r="AQ70" s="126"/>
      <c r="AR70" s="126"/>
      <c r="AS70" s="126"/>
      <c r="AT70" s="126"/>
      <c r="AU70" s="126"/>
      <c r="AV70" s="126"/>
      <c r="AW70" s="126"/>
      <c r="AX70" s="126"/>
      <c r="AY70" s="126"/>
      <c r="AZ70" s="126"/>
      <c r="BA70" s="126"/>
      <c r="BB70" s="126"/>
      <c r="BC70" s="126"/>
      <c r="BD70" s="126"/>
      <c r="BE70" s="126"/>
      <c r="BF70" s="126"/>
      <c r="BG70" s="126"/>
      <c r="BH70" s="126"/>
      <c r="BI70" s="127"/>
      <c r="BJ70" s="119">
        <f t="shared" si="126"/>
        <v>1.0000000000000002</v>
      </c>
    </row>
    <row r="71" spans="1:63" ht="21.75" customHeight="1" outlineLevel="1" x14ac:dyDescent="0.25">
      <c r="A71" s="209" t="str">
        <f>Empreendimentos!B45</f>
        <v>Q03</v>
      </c>
      <c r="B71" s="210" t="str">
        <f>Empreendimentos!C45</f>
        <v>Residencial unifamiliar</v>
      </c>
      <c r="C71" s="174" t="str">
        <f t="shared" si="123"/>
        <v>Residências</v>
      </c>
      <c r="D71" s="148">
        <f>Empreendimentos!J45</f>
        <v>18</v>
      </c>
      <c r="E71" s="173">
        <f>Empreendimentos!K45</f>
        <v>628.28000000000009</v>
      </c>
      <c r="F71" s="149"/>
      <c r="G71" s="149">
        <f t="shared" si="127"/>
        <v>6785.424</v>
      </c>
      <c r="H71" s="179">
        <f t="shared" si="124"/>
        <v>0</v>
      </c>
      <c r="I71" s="180">
        <f t="shared" si="125"/>
        <v>47600897.67900797</v>
      </c>
      <c r="J71" s="204">
        <f t="shared" si="117"/>
        <v>0</v>
      </c>
      <c r="K71" s="204">
        <f t="shared" si="118"/>
        <v>7.9236349599570211E-2</v>
      </c>
      <c r="L71" s="123"/>
      <c r="M71" s="124"/>
      <c r="N71" s="124">
        <v>0.05</v>
      </c>
      <c r="O71" s="128">
        <v>0.06</v>
      </c>
      <c r="P71" s="128">
        <v>0.08</v>
      </c>
      <c r="Q71" s="128">
        <v>0.09</v>
      </c>
      <c r="R71" s="129">
        <v>0.1</v>
      </c>
      <c r="S71" s="129">
        <v>0.12</v>
      </c>
      <c r="T71" s="129">
        <v>0.1</v>
      </c>
      <c r="U71" s="129">
        <v>0.08</v>
      </c>
      <c r="V71" s="129">
        <v>0.06</v>
      </c>
      <c r="W71" s="129">
        <v>0.05</v>
      </c>
      <c r="X71" s="129">
        <v>0.05</v>
      </c>
      <c r="Y71" s="129">
        <v>0.04</v>
      </c>
      <c r="Z71" s="129">
        <v>0.04</v>
      </c>
      <c r="AA71" s="129">
        <v>0.03</v>
      </c>
      <c r="AB71" s="129">
        <v>0.03</v>
      </c>
      <c r="AC71" s="129">
        <v>0.02</v>
      </c>
      <c r="AD71" s="125"/>
      <c r="AE71" s="125"/>
      <c r="AF71" s="125"/>
      <c r="AG71" s="126"/>
      <c r="AH71" s="126"/>
      <c r="AI71" s="126"/>
      <c r="AJ71" s="126"/>
      <c r="AK71" s="126"/>
      <c r="AL71" s="126"/>
      <c r="AM71" s="126"/>
      <c r="AN71" s="126"/>
      <c r="AO71" s="126"/>
      <c r="AP71" s="126"/>
      <c r="AQ71" s="126"/>
      <c r="AR71" s="126"/>
      <c r="AS71" s="126"/>
      <c r="AT71" s="126"/>
      <c r="AU71" s="126"/>
      <c r="AV71" s="126"/>
      <c r="AW71" s="126"/>
      <c r="AX71" s="126"/>
      <c r="AY71" s="126"/>
      <c r="AZ71" s="126"/>
      <c r="BA71" s="126"/>
      <c r="BB71" s="126"/>
      <c r="BC71" s="126"/>
      <c r="BD71" s="126"/>
      <c r="BE71" s="126"/>
      <c r="BF71" s="126"/>
      <c r="BG71" s="126"/>
      <c r="BH71" s="126"/>
      <c r="BI71" s="127"/>
      <c r="BJ71" s="119">
        <f t="shared" si="126"/>
        <v>1.0000000000000002</v>
      </c>
    </row>
    <row r="72" spans="1:63" ht="21.75" customHeight="1" outlineLevel="1" x14ac:dyDescent="0.25">
      <c r="A72" s="209" t="str">
        <f>Empreendimentos!B46</f>
        <v>Q04</v>
      </c>
      <c r="B72" s="210" t="str">
        <f>Empreendimentos!C46</f>
        <v>Residencial unifamiliar</v>
      </c>
      <c r="C72" s="174" t="str">
        <f t="shared" si="123"/>
        <v>Residências</v>
      </c>
      <c r="D72" s="148">
        <f>Empreendimentos!J46</f>
        <v>20</v>
      </c>
      <c r="E72" s="173">
        <f>Empreendimentos!K46</f>
        <v>670.65199999999993</v>
      </c>
      <c r="F72" s="149"/>
      <c r="G72" s="149">
        <f t="shared" si="127"/>
        <v>8047.8239999999987</v>
      </c>
      <c r="H72" s="179">
        <f t="shared" si="124"/>
        <v>0</v>
      </c>
      <c r="I72" s="180">
        <f t="shared" si="125"/>
        <v>56456847.318997979</v>
      </c>
      <c r="J72" s="204">
        <f t="shared" si="117"/>
        <v>0</v>
      </c>
      <c r="K72" s="204">
        <f t="shared" si="118"/>
        <v>9.3977943895593177E-2</v>
      </c>
      <c r="L72" s="123"/>
      <c r="M72" s="124"/>
      <c r="N72" s="124">
        <v>0.05</v>
      </c>
      <c r="O72" s="128">
        <v>0.06</v>
      </c>
      <c r="P72" s="128">
        <v>0.08</v>
      </c>
      <c r="Q72" s="128">
        <v>0.09</v>
      </c>
      <c r="R72" s="129">
        <v>0.1</v>
      </c>
      <c r="S72" s="129">
        <v>0.12</v>
      </c>
      <c r="T72" s="129">
        <v>0.1</v>
      </c>
      <c r="U72" s="129">
        <v>0.08</v>
      </c>
      <c r="V72" s="129">
        <v>0.06</v>
      </c>
      <c r="W72" s="129">
        <v>0.05</v>
      </c>
      <c r="X72" s="129">
        <v>0.05</v>
      </c>
      <c r="Y72" s="129">
        <v>0.04</v>
      </c>
      <c r="Z72" s="129">
        <v>0.04</v>
      </c>
      <c r="AA72" s="129">
        <v>0.03</v>
      </c>
      <c r="AB72" s="129">
        <v>0.03</v>
      </c>
      <c r="AC72" s="129">
        <v>0.02</v>
      </c>
      <c r="AD72" s="125"/>
      <c r="AE72" s="125"/>
      <c r="AF72" s="125"/>
      <c r="AG72" s="126"/>
      <c r="AH72" s="126"/>
      <c r="AI72" s="126"/>
      <c r="AJ72" s="126"/>
      <c r="AK72" s="126"/>
      <c r="AL72" s="126"/>
      <c r="AM72" s="126"/>
      <c r="AN72" s="126"/>
      <c r="AO72" s="126"/>
      <c r="AP72" s="126"/>
      <c r="AQ72" s="126"/>
      <c r="AR72" s="126"/>
      <c r="AS72" s="126"/>
      <c r="AT72" s="126"/>
      <c r="AU72" s="126"/>
      <c r="AV72" s="126"/>
      <c r="AW72" s="126"/>
      <c r="AX72" s="126"/>
      <c r="AY72" s="126"/>
      <c r="AZ72" s="126"/>
      <c r="BA72" s="126"/>
      <c r="BB72" s="126"/>
      <c r="BC72" s="126"/>
      <c r="BD72" s="126"/>
      <c r="BE72" s="126"/>
      <c r="BF72" s="126"/>
      <c r="BG72" s="126"/>
      <c r="BH72" s="126"/>
      <c r="BI72" s="127"/>
      <c r="BJ72" s="119">
        <f t="shared" si="126"/>
        <v>1.0000000000000002</v>
      </c>
    </row>
    <row r="73" spans="1:63" ht="21.75" customHeight="1" outlineLevel="1" x14ac:dyDescent="0.25">
      <c r="A73" s="209" t="str">
        <f>Empreendimentos!B47</f>
        <v>Q05</v>
      </c>
      <c r="B73" s="210" t="str">
        <f>Empreendimentos!C47</f>
        <v>Residencial unifamiliar</v>
      </c>
      <c r="C73" s="174" t="str">
        <f t="shared" si="123"/>
        <v>Residências</v>
      </c>
      <c r="D73" s="148">
        <f>Empreendimentos!J47</f>
        <v>17</v>
      </c>
      <c r="E73" s="173">
        <f>Empreendimentos!K47</f>
        <v>574.91588235294114</v>
      </c>
      <c r="F73" s="149"/>
      <c r="G73" s="149">
        <f t="shared" si="127"/>
        <v>5864.1419999999998</v>
      </c>
      <c r="H73" s="179">
        <f t="shared" si="124"/>
        <v>0</v>
      </c>
      <c r="I73" s="180">
        <f t="shared" si="125"/>
        <v>41137948.537508212</v>
      </c>
      <c r="J73" s="204">
        <f t="shared" si="117"/>
        <v>0</v>
      </c>
      <c r="K73" s="204">
        <f t="shared" si="118"/>
        <v>6.8478138670998723E-2</v>
      </c>
      <c r="L73" s="123"/>
      <c r="M73" s="124"/>
      <c r="N73" s="124">
        <v>0.05</v>
      </c>
      <c r="O73" s="128">
        <v>0.06</v>
      </c>
      <c r="P73" s="128">
        <v>0.08</v>
      </c>
      <c r="Q73" s="128">
        <v>0.09</v>
      </c>
      <c r="R73" s="129">
        <v>0.1</v>
      </c>
      <c r="S73" s="129">
        <v>0.12</v>
      </c>
      <c r="T73" s="129">
        <v>0.1</v>
      </c>
      <c r="U73" s="129">
        <v>0.08</v>
      </c>
      <c r="V73" s="129">
        <v>0.06</v>
      </c>
      <c r="W73" s="129">
        <v>0.05</v>
      </c>
      <c r="X73" s="129">
        <v>0.05</v>
      </c>
      <c r="Y73" s="129">
        <v>0.04</v>
      </c>
      <c r="Z73" s="129">
        <v>0.04</v>
      </c>
      <c r="AA73" s="129">
        <v>0.03</v>
      </c>
      <c r="AB73" s="129">
        <v>0.03</v>
      </c>
      <c r="AC73" s="129">
        <v>0.02</v>
      </c>
      <c r="AD73" s="125"/>
      <c r="AE73" s="125"/>
      <c r="AF73" s="125"/>
      <c r="AG73" s="126"/>
      <c r="AH73" s="126"/>
      <c r="AI73" s="126"/>
      <c r="AJ73" s="126"/>
      <c r="AK73" s="126"/>
      <c r="AL73" s="126"/>
      <c r="AM73" s="126"/>
      <c r="AN73" s="126"/>
      <c r="AO73" s="126"/>
      <c r="AP73" s="126"/>
      <c r="AQ73" s="126"/>
      <c r="AR73" s="126"/>
      <c r="AS73" s="126"/>
      <c r="AT73" s="126"/>
      <c r="AU73" s="126"/>
      <c r="AV73" s="126"/>
      <c r="AW73" s="126"/>
      <c r="AX73" s="126"/>
      <c r="AY73" s="126"/>
      <c r="AZ73" s="126"/>
      <c r="BA73" s="126"/>
      <c r="BB73" s="126"/>
      <c r="BC73" s="126"/>
      <c r="BD73" s="126"/>
      <c r="BE73" s="126"/>
      <c r="BF73" s="126"/>
      <c r="BG73" s="126"/>
      <c r="BH73" s="126"/>
      <c r="BI73" s="127"/>
      <c r="BJ73" s="119">
        <f t="shared" si="126"/>
        <v>1.0000000000000002</v>
      </c>
    </row>
    <row r="74" spans="1:63" ht="21.75" customHeight="1" outlineLevel="1" x14ac:dyDescent="0.25">
      <c r="A74" s="209" t="str">
        <f>Empreendimentos!B48</f>
        <v>Q06</v>
      </c>
      <c r="B74" s="210" t="str">
        <f>Empreendimentos!C48</f>
        <v>Residencial unifamiliar</v>
      </c>
      <c r="C74" s="174" t="str">
        <f t="shared" si="123"/>
        <v>Residências</v>
      </c>
      <c r="D74" s="148">
        <f>Empreendimentos!J48</f>
        <v>7</v>
      </c>
      <c r="E74" s="173">
        <f>Empreendimentos!K48</f>
        <v>625.09857142857152</v>
      </c>
      <c r="F74" s="149"/>
      <c r="G74" s="149">
        <f t="shared" si="127"/>
        <v>2625.4140000000002</v>
      </c>
      <c r="H74" s="179">
        <f t="shared" si="124"/>
        <v>0</v>
      </c>
      <c r="I74" s="180">
        <f t="shared" si="125"/>
        <v>18417723.517209098</v>
      </c>
      <c r="J74" s="204">
        <f t="shared" si="117"/>
        <v>0</v>
      </c>
      <c r="K74" s="204">
        <f t="shared" si="118"/>
        <v>3.0658102065192393E-2</v>
      </c>
      <c r="L74" s="123"/>
      <c r="M74" s="124"/>
      <c r="N74" s="124">
        <v>0.05</v>
      </c>
      <c r="O74" s="128">
        <v>0.06</v>
      </c>
      <c r="P74" s="128">
        <v>0.08</v>
      </c>
      <c r="Q74" s="128">
        <v>0.09</v>
      </c>
      <c r="R74" s="129">
        <v>0.1</v>
      </c>
      <c r="S74" s="129">
        <v>0.12</v>
      </c>
      <c r="T74" s="129">
        <v>0.1</v>
      </c>
      <c r="U74" s="129">
        <v>0.08</v>
      </c>
      <c r="V74" s="129">
        <v>0.06</v>
      </c>
      <c r="W74" s="129">
        <v>0.05</v>
      </c>
      <c r="X74" s="129">
        <v>0.05</v>
      </c>
      <c r="Y74" s="129">
        <v>0.04</v>
      </c>
      <c r="Z74" s="129">
        <v>0.04</v>
      </c>
      <c r="AA74" s="129">
        <v>0.03</v>
      </c>
      <c r="AB74" s="129">
        <v>0.03</v>
      </c>
      <c r="AC74" s="129">
        <v>0.02</v>
      </c>
      <c r="AD74" s="125"/>
      <c r="AE74" s="125"/>
      <c r="AF74" s="125"/>
      <c r="AG74" s="126"/>
      <c r="AH74" s="126"/>
      <c r="AI74" s="126"/>
      <c r="AJ74" s="126"/>
      <c r="AK74" s="126"/>
      <c r="AL74" s="126"/>
      <c r="AM74" s="126"/>
      <c r="AN74" s="126"/>
      <c r="AO74" s="126"/>
      <c r="AP74" s="126"/>
      <c r="AQ74" s="126"/>
      <c r="AR74" s="126"/>
      <c r="AS74" s="126"/>
      <c r="AT74" s="126"/>
      <c r="AU74" s="126"/>
      <c r="AV74" s="126"/>
      <c r="AW74" s="126"/>
      <c r="AX74" s="126"/>
      <c r="AY74" s="126"/>
      <c r="AZ74" s="126"/>
      <c r="BA74" s="126"/>
      <c r="BB74" s="126"/>
      <c r="BC74" s="126"/>
      <c r="BD74" s="126"/>
      <c r="BE74" s="126"/>
      <c r="BF74" s="126"/>
      <c r="BG74" s="126"/>
      <c r="BH74" s="126"/>
      <c r="BI74" s="127"/>
      <c r="BJ74" s="119">
        <f t="shared" si="126"/>
        <v>1.0000000000000002</v>
      </c>
    </row>
    <row r="75" spans="1:63" ht="21.75" customHeight="1" outlineLevel="1" x14ac:dyDescent="0.25">
      <c r="A75" s="209" t="str">
        <f>Empreendimentos!B49</f>
        <v>Q07</v>
      </c>
      <c r="B75" s="210" t="str">
        <f>Empreendimentos!C49</f>
        <v>Residencial unifamiliar</v>
      </c>
      <c r="C75" s="174" t="str">
        <f t="shared" si="123"/>
        <v>Residências</v>
      </c>
      <c r="D75" s="148">
        <f>Empreendimentos!J49</f>
        <v>12</v>
      </c>
      <c r="E75" s="173">
        <f>Empreendimentos!K49</f>
        <v>681.59666666666669</v>
      </c>
      <c r="F75" s="149"/>
      <c r="G75" s="149">
        <f t="shared" si="127"/>
        <v>4907.4960000000001</v>
      </c>
      <c r="H75" s="179">
        <f t="shared" si="124"/>
        <v>0</v>
      </c>
      <c r="I75" s="180">
        <f t="shared" si="125"/>
        <v>34426914.951245621</v>
      </c>
      <c r="J75" s="204">
        <f t="shared" si="117"/>
        <v>0</v>
      </c>
      <c r="K75" s="204">
        <f t="shared" si="118"/>
        <v>5.7306966921225909E-2</v>
      </c>
      <c r="L75" s="123"/>
      <c r="M75" s="124"/>
      <c r="N75" s="124">
        <v>0.05</v>
      </c>
      <c r="O75" s="128">
        <v>0.06</v>
      </c>
      <c r="P75" s="128">
        <v>0.08</v>
      </c>
      <c r="Q75" s="128">
        <v>0.09</v>
      </c>
      <c r="R75" s="129">
        <v>0.1</v>
      </c>
      <c r="S75" s="129">
        <v>0.12</v>
      </c>
      <c r="T75" s="129">
        <v>0.1</v>
      </c>
      <c r="U75" s="129">
        <v>0.08</v>
      </c>
      <c r="V75" s="129">
        <v>0.06</v>
      </c>
      <c r="W75" s="129">
        <v>0.05</v>
      </c>
      <c r="X75" s="129">
        <v>0.05</v>
      </c>
      <c r="Y75" s="129">
        <v>0.04</v>
      </c>
      <c r="Z75" s="129">
        <v>0.04</v>
      </c>
      <c r="AA75" s="129">
        <v>0.03</v>
      </c>
      <c r="AB75" s="129">
        <v>0.03</v>
      </c>
      <c r="AC75" s="129">
        <v>0.02</v>
      </c>
      <c r="AD75" s="125"/>
      <c r="AE75" s="125"/>
      <c r="AF75" s="125"/>
      <c r="AG75" s="126"/>
      <c r="AH75" s="126"/>
      <c r="AI75" s="126"/>
      <c r="AJ75" s="126"/>
      <c r="AK75" s="126"/>
      <c r="AL75" s="126"/>
      <c r="AM75" s="126"/>
      <c r="AN75" s="126"/>
      <c r="AO75" s="126"/>
      <c r="AP75" s="126"/>
      <c r="AQ75" s="126"/>
      <c r="AR75" s="126"/>
      <c r="AS75" s="126"/>
      <c r="AT75" s="126"/>
      <c r="AU75" s="126"/>
      <c r="AV75" s="126"/>
      <c r="AW75" s="126"/>
      <c r="AX75" s="126"/>
      <c r="AY75" s="126"/>
      <c r="AZ75" s="126"/>
      <c r="BA75" s="126"/>
      <c r="BB75" s="126"/>
      <c r="BC75" s="126"/>
      <c r="BD75" s="126"/>
      <c r="BE75" s="126"/>
      <c r="BF75" s="126"/>
      <c r="BG75" s="126"/>
      <c r="BH75" s="126"/>
      <c r="BI75" s="127"/>
      <c r="BJ75" s="119">
        <f t="shared" si="126"/>
        <v>1.0000000000000002</v>
      </c>
    </row>
    <row r="76" spans="1:63" ht="21.75" customHeight="1" outlineLevel="1" x14ac:dyDescent="0.25">
      <c r="A76" s="209" t="str">
        <f>Empreendimentos!B50</f>
        <v>Q08</v>
      </c>
      <c r="B76" s="210" t="str">
        <f>Empreendimentos!C50</f>
        <v>Residencial unifamiliar</v>
      </c>
      <c r="C76" s="174" t="str">
        <f t="shared" si="123"/>
        <v>Residências</v>
      </c>
      <c r="D76" s="148">
        <f>Empreendimentos!J50</f>
        <v>23</v>
      </c>
      <c r="E76" s="173">
        <f>Empreendimentos!K50</f>
        <v>585.29913043478302</v>
      </c>
      <c r="F76" s="149"/>
      <c r="G76" s="149">
        <f t="shared" si="127"/>
        <v>8077.1280000000061</v>
      </c>
      <c r="H76" s="179">
        <f t="shared" si="124"/>
        <v>0</v>
      </c>
      <c r="I76" s="180">
        <f t="shared" si="125"/>
        <v>56662419.838207684</v>
      </c>
      <c r="J76" s="204">
        <f t="shared" si="117"/>
        <v>0</v>
      </c>
      <c r="K76" s="204">
        <f t="shared" si="118"/>
        <v>9.4320139459004748E-2</v>
      </c>
      <c r="L76" s="123"/>
      <c r="M76" s="124"/>
      <c r="N76" s="124">
        <v>0.05</v>
      </c>
      <c r="O76" s="128">
        <v>0.06</v>
      </c>
      <c r="P76" s="128">
        <v>0.08</v>
      </c>
      <c r="Q76" s="128">
        <v>0.09</v>
      </c>
      <c r="R76" s="129">
        <v>0.1</v>
      </c>
      <c r="S76" s="129">
        <v>0.12</v>
      </c>
      <c r="T76" s="129">
        <v>0.1</v>
      </c>
      <c r="U76" s="129">
        <v>0.08</v>
      </c>
      <c r="V76" s="129">
        <v>0.06</v>
      </c>
      <c r="W76" s="129">
        <v>0.05</v>
      </c>
      <c r="X76" s="129">
        <v>0.05</v>
      </c>
      <c r="Y76" s="129">
        <v>0.04</v>
      </c>
      <c r="Z76" s="129">
        <v>0.04</v>
      </c>
      <c r="AA76" s="129">
        <v>0.03</v>
      </c>
      <c r="AB76" s="129">
        <v>0.03</v>
      </c>
      <c r="AC76" s="129">
        <v>0.02</v>
      </c>
      <c r="AD76" s="125"/>
      <c r="AE76" s="125"/>
      <c r="AF76" s="125"/>
      <c r="AG76" s="126"/>
      <c r="AH76" s="126"/>
      <c r="AI76" s="126"/>
      <c r="AJ76" s="126"/>
      <c r="AK76" s="126"/>
      <c r="AL76" s="126"/>
      <c r="AM76" s="126"/>
      <c r="AN76" s="126"/>
      <c r="AO76" s="126"/>
      <c r="AP76" s="126"/>
      <c r="AQ76" s="126"/>
      <c r="AR76" s="126"/>
      <c r="AS76" s="126"/>
      <c r="AT76" s="126"/>
      <c r="AU76" s="126"/>
      <c r="AV76" s="126"/>
      <c r="AW76" s="126"/>
      <c r="AX76" s="126"/>
      <c r="AY76" s="126"/>
      <c r="AZ76" s="126"/>
      <c r="BA76" s="126"/>
      <c r="BB76" s="126"/>
      <c r="BC76" s="126"/>
      <c r="BD76" s="126"/>
      <c r="BE76" s="126"/>
      <c r="BF76" s="126"/>
      <c r="BG76" s="126"/>
      <c r="BH76" s="126"/>
      <c r="BI76" s="127"/>
      <c r="BJ76" s="119">
        <f t="shared" si="126"/>
        <v>1.0000000000000002</v>
      </c>
    </row>
    <row r="77" spans="1:63" ht="21.75" customHeight="1" outlineLevel="1" x14ac:dyDescent="0.25">
      <c r="A77" s="209" t="str">
        <f>Empreendimentos!B51</f>
        <v>Q09</v>
      </c>
      <c r="B77" s="210" t="str">
        <f>Empreendimentos!C51</f>
        <v>Residencial unifamiliar</v>
      </c>
      <c r="C77" s="174" t="str">
        <f t="shared" si="123"/>
        <v>Residências</v>
      </c>
      <c r="D77" s="148">
        <f>Empreendimentos!J51</f>
        <v>35</v>
      </c>
      <c r="E77" s="173">
        <f>Empreendimentos!K51</f>
        <v>563.3925714285715</v>
      </c>
      <c r="F77" s="149"/>
      <c r="G77" s="149">
        <f t="shared" si="127"/>
        <v>11831.244000000001</v>
      </c>
      <c r="H77" s="179">
        <f t="shared" si="124"/>
        <v>0</v>
      </c>
      <c r="I77" s="180">
        <f t="shared" si="125"/>
        <v>82998178.899266571</v>
      </c>
      <c r="J77" s="204">
        <f t="shared" si="117"/>
        <v>0</v>
      </c>
      <c r="K77" s="204">
        <f t="shared" si="118"/>
        <v>0.13815858607830808</v>
      </c>
      <c r="L77" s="123"/>
      <c r="M77" s="124"/>
      <c r="N77" s="124">
        <v>0.05</v>
      </c>
      <c r="O77" s="128">
        <v>0.06</v>
      </c>
      <c r="P77" s="128">
        <v>0.08</v>
      </c>
      <c r="Q77" s="128">
        <v>0.09</v>
      </c>
      <c r="R77" s="129">
        <v>0.1</v>
      </c>
      <c r="S77" s="129">
        <v>0.12</v>
      </c>
      <c r="T77" s="129">
        <v>0.1</v>
      </c>
      <c r="U77" s="129">
        <v>0.08</v>
      </c>
      <c r="V77" s="129">
        <v>0.06</v>
      </c>
      <c r="W77" s="129">
        <v>0.05</v>
      </c>
      <c r="X77" s="129">
        <v>0.05</v>
      </c>
      <c r="Y77" s="129">
        <v>0.04</v>
      </c>
      <c r="Z77" s="129">
        <v>0.04</v>
      </c>
      <c r="AA77" s="129">
        <v>0.03</v>
      </c>
      <c r="AB77" s="129">
        <v>0.03</v>
      </c>
      <c r="AC77" s="129">
        <v>0.02</v>
      </c>
      <c r="AD77" s="125"/>
      <c r="AE77" s="125"/>
      <c r="AF77" s="125"/>
      <c r="AG77" s="126"/>
      <c r="AH77" s="126"/>
      <c r="AI77" s="126"/>
      <c r="AJ77" s="126"/>
      <c r="AK77" s="126"/>
      <c r="AL77" s="126"/>
      <c r="AM77" s="126"/>
      <c r="AN77" s="126"/>
      <c r="AO77" s="126"/>
      <c r="AP77" s="126"/>
      <c r="AQ77" s="126"/>
      <c r="AR77" s="126"/>
      <c r="AS77" s="126"/>
      <c r="AT77" s="126"/>
      <c r="AU77" s="126"/>
      <c r="AV77" s="126"/>
      <c r="AW77" s="126"/>
      <c r="AX77" s="126"/>
      <c r="AY77" s="126"/>
      <c r="AZ77" s="126"/>
      <c r="BA77" s="126"/>
      <c r="BB77" s="126"/>
      <c r="BC77" s="126"/>
      <c r="BD77" s="126"/>
      <c r="BE77" s="126"/>
      <c r="BF77" s="126"/>
      <c r="BG77" s="126"/>
      <c r="BH77" s="126"/>
      <c r="BI77" s="127"/>
      <c r="BJ77" s="119">
        <f t="shared" si="126"/>
        <v>1.0000000000000002</v>
      </c>
    </row>
    <row r="78" spans="1:63" ht="21.75" customHeight="1" outlineLevel="1" x14ac:dyDescent="0.25">
      <c r="A78" s="209" t="str">
        <f>Empreendimentos!B52</f>
        <v>Q10</v>
      </c>
      <c r="B78" s="210" t="str">
        <f>Empreendimentos!C52</f>
        <v>Residencial unifamiliar</v>
      </c>
      <c r="C78" s="174" t="str">
        <f t="shared" si="123"/>
        <v>Residências</v>
      </c>
      <c r="D78" s="148">
        <f>Empreendimentos!J52</f>
        <v>17</v>
      </c>
      <c r="E78" s="173">
        <f>Empreendimentos!K52</f>
        <v>643.31000000000006</v>
      </c>
      <c r="F78" s="149"/>
      <c r="G78" s="149">
        <f t="shared" si="127"/>
        <v>6561.7619999999997</v>
      </c>
      <c r="H78" s="179">
        <f t="shared" si="124"/>
        <v>0</v>
      </c>
      <c r="I78" s="180">
        <f t="shared" si="125"/>
        <v>46031870.897972278</v>
      </c>
      <c r="J78" s="204">
        <f t="shared" si="117"/>
        <v>0</v>
      </c>
      <c r="K78" s="204">
        <f t="shared" si="118"/>
        <v>7.662455107023157E-2</v>
      </c>
      <c r="L78" s="123"/>
      <c r="M78" s="124"/>
      <c r="N78" s="124">
        <v>0.05</v>
      </c>
      <c r="O78" s="128">
        <v>0.06</v>
      </c>
      <c r="P78" s="128">
        <v>0.08</v>
      </c>
      <c r="Q78" s="128">
        <v>0.09</v>
      </c>
      <c r="R78" s="129">
        <v>0.1</v>
      </c>
      <c r="S78" s="129">
        <v>0.12</v>
      </c>
      <c r="T78" s="129">
        <v>0.1</v>
      </c>
      <c r="U78" s="129">
        <v>0.08</v>
      </c>
      <c r="V78" s="129">
        <v>0.06</v>
      </c>
      <c r="W78" s="129">
        <v>0.05</v>
      </c>
      <c r="X78" s="129">
        <v>0.05</v>
      </c>
      <c r="Y78" s="129">
        <v>0.04</v>
      </c>
      <c r="Z78" s="129">
        <v>0.04</v>
      </c>
      <c r="AA78" s="129">
        <v>0.03</v>
      </c>
      <c r="AB78" s="129">
        <v>0.03</v>
      </c>
      <c r="AC78" s="129">
        <v>0.02</v>
      </c>
      <c r="AD78" s="125"/>
      <c r="AE78" s="125"/>
      <c r="AF78" s="125"/>
      <c r="AG78" s="126"/>
      <c r="AH78" s="126"/>
      <c r="AI78" s="126"/>
      <c r="AJ78" s="126"/>
      <c r="AK78" s="126"/>
      <c r="AL78" s="126"/>
      <c r="AM78" s="126"/>
      <c r="AN78" s="126"/>
      <c r="AO78" s="126"/>
      <c r="AP78" s="126"/>
      <c r="AQ78" s="126"/>
      <c r="AR78" s="126"/>
      <c r="AS78" s="126"/>
      <c r="AT78" s="126"/>
      <c r="AU78" s="126"/>
      <c r="AV78" s="126"/>
      <c r="AW78" s="126"/>
      <c r="AX78" s="126"/>
      <c r="AY78" s="126"/>
      <c r="AZ78" s="126"/>
      <c r="BA78" s="126"/>
      <c r="BB78" s="126"/>
      <c r="BC78" s="126"/>
      <c r="BD78" s="126"/>
      <c r="BE78" s="126"/>
      <c r="BF78" s="126"/>
      <c r="BG78" s="126"/>
      <c r="BH78" s="126"/>
      <c r="BI78" s="127"/>
      <c r="BJ78" s="119">
        <f t="shared" si="126"/>
        <v>1.0000000000000002</v>
      </c>
    </row>
    <row r="79" spans="1:63" ht="21.75" customHeight="1" outlineLevel="1" x14ac:dyDescent="0.25">
      <c r="A79" s="209" t="str">
        <f>Empreendimentos!B53</f>
        <v>Q11</v>
      </c>
      <c r="B79" s="210" t="str">
        <f>Empreendimentos!C53</f>
        <v>Residencial unifamiliar</v>
      </c>
      <c r="C79" s="174" t="str">
        <f t="shared" si="123"/>
        <v>Residências</v>
      </c>
      <c r="D79" s="148">
        <f>Empreendimentos!J53</f>
        <v>25</v>
      </c>
      <c r="E79" s="173">
        <f>Empreendimentos!K53</f>
        <v>653.58159999999998</v>
      </c>
      <c r="F79" s="149"/>
      <c r="G79" s="149">
        <f t="shared" si="127"/>
        <v>9803.7239999999983</v>
      </c>
      <c r="H79" s="179">
        <f t="shared" si="124"/>
        <v>0</v>
      </c>
      <c r="I79" s="180">
        <f t="shared" si="125"/>
        <v>68774782.975571558</v>
      </c>
      <c r="J79" s="204">
        <f t="shared" si="117"/>
        <v>0</v>
      </c>
      <c r="K79" s="204">
        <f t="shared" si="118"/>
        <v>0.11448235250172971</v>
      </c>
      <c r="L79" s="123"/>
      <c r="M79" s="124"/>
      <c r="N79" s="124">
        <v>0.05</v>
      </c>
      <c r="O79" s="128">
        <v>0.06</v>
      </c>
      <c r="P79" s="128">
        <v>0.08</v>
      </c>
      <c r="Q79" s="128">
        <v>0.09</v>
      </c>
      <c r="R79" s="129">
        <v>0.1</v>
      </c>
      <c r="S79" s="129">
        <v>0.12</v>
      </c>
      <c r="T79" s="129">
        <v>0.1</v>
      </c>
      <c r="U79" s="129">
        <v>0.08</v>
      </c>
      <c r="V79" s="129">
        <v>0.06</v>
      </c>
      <c r="W79" s="129">
        <v>0.05</v>
      </c>
      <c r="X79" s="129">
        <v>0.05</v>
      </c>
      <c r="Y79" s="129">
        <v>0.04</v>
      </c>
      <c r="Z79" s="129">
        <v>0.04</v>
      </c>
      <c r="AA79" s="129">
        <v>0.03</v>
      </c>
      <c r="AB79" s="129">
        <v>0.03</v>
      </c>
      <c r="AC79" s="129">
        <v>0.02</v>
      </c>
      <c r="AD79" s="125"/>
      <c r="AE79" s="125"/>
      <c r="AF79" s="125"/>
      <c r="AG79" s="126"/>
      <c r="AH79" s="126"/>
      <c r="AI79" s="126"/>
      <c r="AJ79" s="126"/>
      <c r="AK79" s="126"/>
      <c r="AL79" s="126"/>
      <c r="AM79" s="126"/>
      <c r="AN79" s="126"/>
      <c r="AO79" s="126"/>
      <c r="AP79" s="126"/>
      <c r="AQ79" s="126"/>
      <c r="AR79" s="126"/>
      <c r="AS79" s="126"/>
      <c r="AT79" s="126"/>
      <c r="AU79" s="126"/>
      <c r="AV79" s="126"/>
      <c r="AW79" s="126"/>
      <c r="AX79" s="126"/>
      <c r="AY79" s="126"/>
      <c r="AZ79" s="126"/>
      <c r="BA79" s="126"/>
      <c r="BB79" s="126"/>
      <c r="BC79" s="126"/>
      <c r="BD79" s="126"/>
      <c r="BE79" s="126"/>
      <c r="BF79" s="126"/>
      <c r="BG79" s="126"/>
      <c r="BH79" s="126"/>
      <c r="BI79" s="127"/>
      <c r="BJ79" s="119">
        <f t="shared" si="126"/>
        <v>1.0000000000000002</v>
      </c>
    </row>
    <row r="80" spans="1:63" ht="21.75" customHeight="1" outlineLevel="1" x14ac:dyDescent="0.25">
      <c r="A80" s="209" t="str">
        <f>Empreendimentos!B54</f>
        <v>Q12</v>
      </c>
      <c r="B80" s="210" t="str">
        <f>Empreendimentos!C54</f>
        <v>Residencial unifamiliar</v>
      </c>
      <c r="C80" s="174" t="str">
        <f t="shared" si="123"/>
        <v>Residências</v>
      </c>
      <c r="D80" s="148">
        <f>Empreendimentos!J54</f>
        <v>7</v>
      </c>
      <c r="E80" s="173">
        <f>Empreendimentos!K54</f>
        <v>689.35571428571427</v>
      </c>
      <c r="F80" s="149"/>
      <c r="G80" s="149">
        <f t="shared" si="127"/>
        <v>2895.2939999999999</v>
      </c>
      <c r="H80" s="179">
        <f t="shared" si="124"/>
        <v>0</v>
      </c>
      <c r="I80" s="180">
        <f t="shared" si="125"/>
        <v>20310977.389864758</v>
      </c>
      <c r="J80" s="204">
        <f t="shared" si="117"/>
        <v>0</v>
      </c>
      <c r="K80" s="204">
        <f t="shared" si="118"/>
        <v>3.3809608298249014E-2</v>
      </c>
      <c r="L80" s="123"/>
      <c r="M80" s="124"/>
      <c r="N80" s="124">
        <v>0.05</v>
      </c>
      <c r="O80" s="128">
        <v>0.06</v>
      </c>
      <c r="P80" s="128">
        <v>0.08</v>
      </c>
      <c r="Q80" s="128">
        <v>0.09</v>
      </c>
      <c r="R80" s="129">
        <v>0.1</v>
      </c>
      <c r="S80" s="129">
        <v>0.12</v>
      </c>
      <c r="T80" s="129">
        <v>0.1</v>
      </c>
      <c r="U80" s="129">
        <v>0.08</v>
      </c>
      <c r="V80" s="129">
        <v>0.06</v>
      </c>
      <c r="W80" s="129">
        <v>0.05</v>
      </c>
      <c r="X80" s="129">
        <v>0.05</v>
      </c>
      <c r="Y80" s="129">
        <v>0.04</v>
      </c>
      <c r="Z80" s="129">
        <v>0.04</v>
      </c>
      <c r="AA80" s="129">
        <v>0.03</v>
      </c>
      <c r="AB80" s="129">
        <v>0.03</v>
      </c>
      <c r="AC80" s="129">
        <v>0.02</v>
      </c>
      <c r="AD80" s="125"/>
      <c r="AE80" s="125"/>
      <c r="AF80" s="125"/>
      <c r="AG80" s="126"/>
      <c r="AH80" s="126"/>
      <c r="AI80" s="126"/>
      <c r="AJ80" s="126"/>
      <c r="AK80" s="126"/>
      <c r="AL80" s="126"/>
      <c r="AM80" s="126"/>
      <c r="AN80" s="126"/>
      <c r="AO80" s="126"/>
      <c r="AP80" s="126"/>
      <c r="AQ80" s="126"/>
      <c r="AR80" s="126"/>
      <c r="AS80" s="126"/>
      <c r="AT80" s="126"/>
      <c r="AU80" s="126"/>
      <c r="AV80" s="126"/>
      <c r="AW80" s="126"/>
      <c r="AX80" s="126"/>
      <c r="AY80" s="126"/>
      <c r="AZ80" s="126"/>
      <c r="BA80" s="126"/>
      <c r="BB80" s="126"/>
      <c r="BC80" s="126"/>
      <c r="BD80" s="126"/>
      <c r="BE80" s="126"/>
      <c r="BF80" s="126"/>
      <c r="BG80" s="126"/>
      <c r="BH80" s="126"/>
      <c r="BI80" s="127"/>
      <c r="BJ80" s="119">
        <f t="shared" si="126"/>
        <v>1.0000000000000002</v>
      </c>
    </row>
    <row r="81" spans="1:63" s="13" customFormat="1" ht="7.8" customHeight="1" x14ac:dyDescent="0.25">
      <c r="A81" s="130"/>
      <c r="B81" s="131"/>
      <c r="C81" s="131"/>
      <c r="D81" s="131"/>
      <c r="E81" s="131"/>
      <c r="F81" s="131"/>
      <c r="G81" s="131"/>
      <c r="H81" s="131"/>
      <c r="I81" s="132"/>
      <c r="J81" s="207">
        <f>H81/$H$42</f>
        <v>0</v>
      </c>
      <c r="K81" s="207">
        <f>I81/$H$42</f>
        <v>0</v>
      </c>
      <c r="L81" s="133"/>
      <c r="M81" s="134"/>
      <c r="N81" s="134"/>
      <c r="O81" s="134"/>
      <c r="P81" s="135"/>
      <c r="Q81" s="135"/>
      <c r="R81" s="135"/>
      <c r="S81" s="135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7"/>
      <c r="BH81" s="137"/>
      <c r="BI81" s="138"/>
      <c r="BJ81" s="119">
        <f>SUM(K81:AI81)</f>
        <v>0</v>
      </c>
    </row>
    <row r="82" spans="1:63" s="13" customFormat="1" ht="7.8" customHeight="1" x14ac:dyDescent="0.25">
      <c r="A82" s="139"/>
      <c r="B82" s="140"/>
      <c r="C82" s="140"/>
      <c r="D82" s="140"/>
      <c r="E82" s="140"/>
      <c r="F82" s="140"/>
      <c r="G82" s="140"/>
      <c r="H82" s="140"/>
      <c r="I82" s="141"/>
      <c r="J82" s="140"/>
      <c r="K82" s="140"/>
      <c r="L82" s="139"/>
      <c r="M82" s="139"/>
      <c r="N82" s="139"/>
      <c r="O82" s="139"/>
      <c r="P82" s="139"/>
      <c r="Q82" s="139"/>
      <c r="R82" s="139"/>
      <c r="S82" s="139"/>
      <c r="T82" s="142"/>
      <c r="U82" s="142"/>
      <c r="V82" s="142"/>
      <c r="W82" s="142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 s="142"/>
      <c r="AQ82" s="142"/>
      <c r="AR82" s="142"/>
      <c r="AS82" s="142"/>
      <c r="AT82" s="142"/>
      <c r="AU82" s="142"/>
      <c r="AV82" s="142"/>
      <c r="AW82" s="142"/>
      <c r="AX82" s="142"/>
      <c r="AY82" s="142"/>
      <c r="AZ82" s="142"/>
      <c r="BA82" s="142"/>
      <c r="BB82" s="142"/>
      <c r="BC82" s="142"/>
      <c r="BD82" s="142"/>
      <c r="BE82" s="142"/>
      <c r="BF82" s="142"/>
      <c r="BG82" s="142"/>
      <c r="BH82" s="142"/>
      <c r="BI82" s="142"/>
      <c r="BJ82" s="143"/>
    </row>
    <row r="83" spans="1:63" s="144" customFormat="1" ht="18" customHeight="1" x14ac:dyDescent="0.25">
      <c r="A83" s="379" t="s">
        <v>223</v>
      </c>
      <c r="B83" s="380"/>
      <c r="C83" s="385" t="s">
        <v>168</v>
      </c>
      <c r="D83" s="386"/>
      <c r="E83" s="386"/>
      <c r="F83" s="386"/>
      <c r="G83" s="387"/>
      <c r="H83" s="388">
        <f>SUM(H68,H54)</f>
        <v>296562575</v>
      </c>
      <c r="I83" s="388"/>
      <c r="J83" s="389">
        <f>SUM(J68,J54)</f>
        <v>1</v>
      </c>
      <c r="K83" s="389"/>
      <c r="L83" s="163">
        <f>SUMPRODUCT($H54:$H81,L54:L81)</f>
        <v>59312515.000000007</v>
      </c>
      <c r="M83" s="163">
        <f>SUMPRODUCT($H54:$H81,M54:M81)</f>
        <v>148281287.5</v>
      </c>
      <c r="N83" s="163">
        <f t="shared" ref="N83:BI83" si="128">SUMPRODUCT($H54:$H81,N54:N81)</f>
        <v>88968772.5</v>
      </c>
      <c r="O83" s="163">
        <f t="shared" si="128"/>
        <v>0</v>
      </c>
      <c r="P83" s="163">
        <f t="shared" si="128"/>
        <v>0</v>
      </c>
      <c r="Q83" s="163">
        <f t="shared" si="128"/>
        <v>0</v>
      </c>
      <c r="R83" s="163">
        <f t="shared" si="128"/>
        <v>0</v>
      </c>
      <c r="S83" s="163">
        <f t="shared" si="128"/>
        <v>0</v>
      </c>
      <c r="T83" s="163">
        <f t="shared" si="128"/>
        <v>0</v>
      </c>
      <c r="U83" s="163">
        <f t="shared" si="128"/>
        <v>0</v>
      </c>
      <c r="V83" s="163">
        <f t="shared" si="128"/>
        <v>0</v>
      </c>
      <c r="W83" s="163">
        <f t="shared" si="128"/>
        <v>0</v>
      </c>
      <c r="X83" s="163">
        <f t="shared" si="128"/>
        <v>0</v>
      </c>
      <c r="Y83" s="163">
        <f t="shared" si="128"/>
        <v>0</v>
      </c>
      <c r="Z83" s="163">
        <f t="shared" si="128"/>
        <v>0</v>
      </c>
      <c r="AA83" s="163">
        <f t="shared" si="128"/>
        <v>0</v>
      </c>
      <c r="AB83" s="163">
        <f t="shared" si="128"/>
        <v>0</v>
      </c>
      <c r="AC83" s="163">
        <f t="shared" si="128"/>
        <v>0</v>
      </c>
      <c r="AD83" s="163">
        <f t="shared" si="128"/>
        <v>0</v>
      </c>
      <c r="AE83" s="163">
        <f t="shared" si="128"/>
        <v>0</v>
      </c>
      <c r="AF83" s="163">
        <f t="shared" si="128"/>
        <v>0</v>
      </c>
      <c r="AG83" s="163">
        <f t="shared" si="128"/>
        <v>0</v>
      </c>
      <c r="AH83" s="163">
        <f t="shared" si="128"/>
        <v>0</v>
      </c>
      <c r="AI83" s="163">
        <f t="shared" si="128"/>
        <v>0</v>
      </c>
      <c r="AJ83" s="163">
        <f t="shared" si="128"/>
        <v>0</v>
      </c>
      <c r="AK83" s="163">
        <f t="shared" si="128"/>
        <v>0</v>
      </c>
      <c r="AL83" s="163">
        <f t="shared" si="128"/>
        <v>0</v>
      </c>
      <c r="AM83" s="163">
        <f t="shared" si="128"/>
        <v>0</v>
      </c>
      <c r="AN83" s="163">
        <f t="shared" si="128"/>
        <v>0</v>
      </c>
      <c r="AO83" s="163">
        <f t="shared" si="128"/>
        <v>0</v>
      </c>
      <c r="AP83" s="163">
        <f t="shared" si="128"/>
        <v>0</v>
      </c>
      <c r="AQ83" s="163">
        <f t="shared" si="128"/>
        <v>0</v>
      </c>
      <c r="AR83" s="163">
        <f t="shared" si="128"/>
        <v>0</v>
      </c>
      <c r="AS83" s="163">
        <f t="shared" si="128"/>
        <v>0</v>
      </c>
      <c r="AT83" s="163">
        <f t="shared" si="128"/>
        <v>0</v>
      </c>
      <c r="AU83" s="163">
        <f t="shared" si="128"/>
        <v>0</v>
      </c>
      <c r="AV83" s="163">
        <f t="shared" si="128"/>
        <v>0</v>
      </c>
      <c r="AW83" s="163">
        <f t="shared" si="128"/>
        <v>0</v>
      </c>
      <c r="AX83" s="163">
        <f t="shared" si="128"/>
        <v>0</v>
      </c>
      <c r="AY83" s="163">
        <f t="shared" si="128"/>
        <v>0</v>
      </c>
      <c r="AZ83" s="163">
        <f t="shared" si="128"/>
        <v>0</v>
      </c>
      <c r="BA83" s="163">
        <f t="shared" si="128"/>
        <v>0</v>
      </c>
      <c r="BB83" s="163">
        <f t="shared" si="128"/>
        <v>0</v>
      </c>
      <c r="BC83" s="163">
        <f t="shared" si="128"/>
        <v>0</v>
      </c>
      <c r="BD83" s="163">
        <f t="shared" si="128"/>
        <v>0</v>
      </c>
      <c r="BE83" s="163">
        <f t="shared" si="128"/>
        <v>0</v>
      </c>
      <c r="BF83" s="163">
        <f t="shared" si="128"/>
        <v>0</v>
      </c>
      <c r="BG83" s="163">
        <f t="shared" si="128"/>
        <v>0</v>
      </c>
      <c r="BH83" s="163">
        <f t="shared" si="128"/>
        <v>0</v>
      </c>
      <c r="BI83" s="163">
        <f t="shared" si="128"/>
        <v>0</v>
      </c>
    </row>
    <row r="84" spans="1:63" s="144" customFormat="1" ht="18" customHeight="1" x14ac:dyDescent="0.25">
      <c r="A84" s="381"/>
      <c r="B84" s="382"/>
      <c r="C84" s="385" t="s">
        <v>169</v>
      </c>
      <c r="D84" s="386"/>
      <c r="E84" s="386"/>
      <c r="F84" s="386"/>
      <c r="G84" s="387"/>
      <c r="H84" s="388"/>
      <c r="I84" s="388"/>
      <c r="J84" s="389"/>
      <c r="K84" s="389"/>
      <c r="L84" s="164">
        <f t="shared" ref="L84" si="129">L83+K84</f>
        <v>59312515.000000007</v>
      </c>
      <c r="M84" s="164">
        <f>M83+L84</f>
        <v>207593802.5</v>
      </c>
      <c r="N84" s="164">
        <f t="shared" ref="N84:BI84" si="130">N83+M84</f>
        <v>296562575</v>
      </c>
      <c r="O84" s="164">
        <f t="shared" si="130"/>
        <v>296562575</v>
      </c>
      <c r="P84" s="164">
        <f t="shared" si="130"/>
        <v>296562575</v>
      </c>
      <c r="Q84" s="164">
        <f t="shared" si="130"/>
        <v>296562575</v>
      </c>
      <c r="R84" s="164">
        <f t="shared" si="130"/>
        <v>296562575</v>
      </c>
      <c r="S84" s="164">
        <f t="shared" si="130"/>
        <v>296562575</v>
      </c>
      <c r="T84" s="164">
        <f t="shared" si="130"/>
        <v>296562575</v>
      </c>
      <c r="U84" s="164">
        <f t="shared" si="130"/>
        <v>296562575</v>
      </c>
      <c r="V84" s="164">
        <f t="shared" si="130"/>
        <v>296562575</v>
      </c>
      <c r="W84" s="164">
        <f t="shared" si="130"/>
        <v>296562575</v>
      </c>
      <c r="X84" s="164">
        <f t="shared" si="130"/>
        <v>296562575</v>
      </c>
      <c r="Y84" s="164">
        <f t="shared" si="130"/>
        <v>296562575</v>
      </c>
      <c r="Z84" s="164">
        <f t="shared" si="130"/>
        <v>296562575</v>
      </c>
      <c r="AA84" s="164">
        <f t="shared" si="130"/>
        <v>296562575</v>
      </c>
      <c r="AB84" s="164">
        <f t="shared" si="130"/>
        <v>296562575</v>
      </c>
      <c r="AC84" s="164">
        <f t="shared" si="130"/>
        <v>296562575</v>
      </c>
      <c r="AD84" s="164">
        <f t="shared" si="130"/>
        <v>296562575</v>
      </c>
      <c r="AE84" s="164">
        <f t="shared" si="130"/>
        <v>296562575</v>
      </c>
      <c r="AF84" s="164">
        <f t="shared" si="130"/>
        <v>296562575</v>
      </c>
      <c r="AG84" s="164">
        <f t="shared" si="130"/>
        <v>296562575</v>
      </c>
      <c r="AH84" s="164">
        <f t="shared" si="130"/>
        <v>296562575</v>
      </c>
      <c r="AI84" s="164">
        <f t="shared" si="130"/>
        <v>296562575</v>
      </c>
      <c r="AJ84" s="164">
        <f t="shared" si="130"/>
        <v>296562575</v>
      </c>
      <c r="AK84" s="164">
        <f t="shared" si="130"/>
        <v>296562575</v>
      </c>
      <c r="AL84" s="164">
        <f t="shared" si="130"/>
        <v>296562575</v>
      </c>
      <c r="AM84" s="164">
        <f t="shared" si="130"/>
        <v>296562575</v>
      </c>
      <c r="AN84" s="164">
        <f t="shared" si="130"/>
        <v>296562575</v>
      </c>
      <c r="AO84" s="164">
        <f t="shared" si="130"/>
        <v>296562575</v>
      </c>
      <c r="AP84" s="164">
        <f t="shared" si="130"/>
        <v>296562575</v>
      </c>
      <c r="AQ84" s="164">
        <f t="shared" si="130"/>
        <v>296562575</v>
      </c>
      <c r="AR84" s="164">
        <f t="shared" si="130"/>
        <v>296562575</v>
      </c>
      <c r="AS84" s="164">
        <f t="shared" si="130"/>
        <v>296562575</v>
      </c>
      <c r="AT84" s="164">
        <f t="shared" si="130"/>
        <v>296562575</v>
      </c>
      <c r="AU84" s="164">
        <f t="shared" si="130"/>
        <v>296562575</v>
      </c>
      <c r="AV84" s="164">
        <f t="shared" si="130"/>
        <v>296562575</v>
      </c>
      <c r="AW84" s="164">
        <f t="shared" si="130"/>
        <v>296562575</v>
      </c>
      <c r="AX84" s="164">
        <f t="shared" si="130"/>
        <v>296562575</v>
      </c>
      <c r="AY84" s="164">
        <f t="shared" si="130"/>
        <v>296562575</v>
      </c>
      <c r="AZ84" s="164">
        <f t="shared" si="130"/>
        <v>296562575</v>
      </c>
      <c r="BA84" s="164">
        <f t="shared" si="130"/>
        <v>296562575</v>
      </c>
      <c r="BB84" s="164">
        <f t="shared" si="130"/>
        <v>296562575</v>
      </c>
      <c r="BC84" s="164">
        <f t="shared" si="130"/>
        <v>296562575</v>
      </c>
      <c r="BD84" s="164">
        <f t="shared" si="130"/>
        <v>296562575</v>
      </c>
      <c r="BE84" s="164">
        <f t="shared" si="130"/>
        <v>296562575</v>
      </c>
      <c r="BF84" s="164">
        <f t="shared" si="130"/>
        <v>296562575</v>
      </c>
      <c r="BG84" s="164">
        <f t="shared" si="130"/>
        <v>296562575</v>
      </c>
      <c r="BH84" s="164">
        <f t="shared" si="130"/>
        <v>296562575</v>
      </c>
      <c r="BI84" s="164">
        <f t="shared" si="130"/>
        <v>296562575</v>
      </c>
    </row>
    <row r="85" spans="1:63" s="144" customFormat="1" ht="18" customHeight="1" x14ac:dyDescent="0.25">
      <c r="A85" s="381"/>
      <c r="B85" s="382"/>
      <c r="C85" s="385" t="s">
        <v>170</v>
      </c>
      <c r="D85" s="386"/>
      <c r="E85" s="386"/>
      <c r="F85" s="386"/>
      <c r="G85" s="387"/>
      <c r="H85" s="388"/>
      <c r="I85" s="388"/>
      <c r="J85" s="389"/>
      <c r="K85" s="389"/>
      <c r="L85" s="165">
        <f>L83/$H$83</f>
        <v>0.20000000000000004</v>
      </c>
      <c r="M85" s="165">
        <f>M83/$H$83</f>
        <v>0.5</v>
      </c>
      <c r="N85" s="165">
        <f t="shared" ref="N85:BI85" si="131">N83/$H$83</f>
        <v>0.3</v>
      </c>
      <c r="O85" s="165">
        <f t="shared" si="131"/>
        <v>0</v>
      </c>
      <c r="P85" s="165">
        <f t="shared" si="131"/>
        <v>0</v>
      </c>
      <c r="Q85" s="165">
        <f t="shared" si="131"/>
        <v>0</v>
      </c>
      <c r="R85" s="165">
        <f t="shared" si="131"/>
        <v>0</v>
      </c>
      <c r="S85" s="165">
        <f t="shared" si="131"/>
        <v>0</v>
      </c>
      <c r="T85" s="165">
        <f t="shared" si="131"/>
        <v>0</v>
      </c>
      <c r="U85" s="165">
        <f t="shared" si="131"/>
        <v>0</v>
      </c>
      <c r="V85" s="165">
        <f t="shared" si="131"/>
        <v>0</v>
      </c>
      <c r="W85" s="165">
        <f t="shared" si="131"/>
        <v>0</v>
      </c>
      <c r="X85" s="165">
        <f t="shared" si="131"/>
        <v>0</v>
      </c>
      <c r="Y85" s="165">
        <f t="shared" si="131"/>
        <v>0</v>
      </c>
      <c r="Z85" s="165">
        <f t="shared" si="131"/>
        <v>0</v>
      </c>
      <c r="AA85" s="165">
        <f t="shared" si="131"/>
        <v>0</v>
      </c>
      <c r="AB85" s="165">
        <f t="shared" si="131"/>
        <v>0</v>
      </c>
      <c r="AC85" s="165">
        <f t="shared" si="131"/>
        <v>0</v>
      </c>
      <c r="AD85" s="165">
        <f t="shared" si="131"/>
        <v>0</v>
      </c>
      <c r="AE85" s="165">
        <f t="shared" si="131"/>
        <v>0</v>
      </c>
      <c r="AF85" s="165">
        <f t="shared" si="131"/>
        <v>0</v>
      </c>
      <c r="AG85" s="165">
        <f t="shared" si="131"/>
        <v>0</v>
      </c>
      <c r="AH85" s="165">
        <f t="shared" si="131"/>
        <v>0</v>
      </c>
      <c r="AI85" s="165">
        <f t="shared" si="131"/>
        <v>0</v>
      </c>
      <c r="AJ85" s="165">
        <f t="shared" si="131"/>
        <v>0</v>
      </c>
      <c r="AK85" s="165">
        <f t="shared" si="131"/>
        <v>0</v>
      </c>
      <c r="AL85" s="165">
        <f t="shared" si="131"/>
        <v>0</v>
      </c>
      <c r="AM85" s="165">
        <f t="shared" si="131"/>
        <v>0</v>
      </c>
      <c r="AN85" s="165">
        <f t="shared" si="131"/>
        <v>0</v>
      </c>
      <c r="AO85" s="165">
        <f t="shared" si="131"/>
        <v>0</v>
      </c>
      <c r="AP85" s="165">
        <f t="shared" si="131"/>
        <v>0</v>
      </c>
      <c r="AQ85" s="165">
        <f t="shared" si="131"/>
        <v>0</v>
      </c>
      <c r="AR85" s="165">
        <f t="shared" si="131"/>
        <v>0</v>
      </c>
      <c r="AS85" s="165">
        <f t="shared" si="131"/>
        <v>0</v>
      </c>
      <c r="AT85" s="165">
        <f t="shared" si="131"/>
        <v>0</v>
      </c>
      <c r="AU85" s="165">
        <f t="shared" si="131"/>
        <v>0</v>
      </c>
      <c r="AV85" s="165">
        <f t="shared" si="131"/>
        <v>0</v>
      </c>
      <c r="AW85" s="165">
        <f t="shared" si="131"/>
        <v>0</v>
      </c>
      <c r="AX85" s="165">
        <f t="shared" si="131"/>
        <v>0</v>
      </c>
      <c r="AY85" s="165">
        <f t="shared" si="131"/>
        <v>0</v>
      </c>
      <c r="AZ85" s="165">
        <f t="shared" si="131"/>
        <v>0</v>
      </c>
      <c r="BA85" s="165">
        <f t="shared" si="131"/>
        <v>0</v>
      </c>
      <c r="BB85" s="165">
        <f t="shared" si="131"/>
        <v>0</v>
      </c>
      <c r="BC85" s="165">
        <f t="shared" si="131"/>
        <v>0</v>
      </c>
      <c r="BD85" s="165">
        <f t="shared" si="131"/>
        <v>0</v>
      </c>
      <c r="BE85" s="165">
        <f t="shared" si="131"/>
        <v>0</v>
      </c>
      <c r="BF85" s="165">
        <f t="shared" si="131"/>
        <v>0</v>
      </c>
      <c r="BG85" s="165">
        <f t="shared" si="131"/>
        <v>0</v>
      </c>
      <c r="BH85" s="165">
        <f t="shared" si="131"/>
        <v>0</v>
      </c>
      <c r="BI85" s="165">
        <f t="shared" si="131"/>
        <v>0</v>
      </c>
    </row>
    <row r="86" spans="1:63" s="144" customFormat="1" ht="18" customHeight="1" x14ac:dyDescent="0.25">
      <c r="A86" s="383"/>
      <c r="B86" s="384"/>
      <c r="C86" s="385" t="s">
        <v>171</v>
      </c>
      <c r="D86" s="386"/>
      <c r="E86" s="386"/>
      <c r="F86" s="386"/>
      <c r="G86" s="387"/>
      <c r="H86" s="388"/>
      <c r="I86" s="388"/>
      <c r="J86" s="389"/>
      <c r="K86" s="389"/>
      <c r="L86" s="165">
        <f t="shared" ref="L86" si="132">L85+K86</f>
        <v>0.20000000000000004</v>
      </c>
      <c r="M86" s="165">
        <f>M85+L86</f>
        <v>0.70000000000000007</v>
      </c>
      <c r="N86" s="165">
        <f t="shared" ref="N86:BI86" si="133">N85+M86</f>
        <v>1</v>
      </c>
      <c r="O86" s="165">
        <f t="shared" si="133"/>
        <v>1</v>
      </c>
      <c r="P86" s="165">
        <f t="shared" si="133"/>
        <v>1</v>
      </c>
      <c r="Q86" s="165">
        <f t="shared" si="133"/>
        <v>1</v>
      </c>
      <c r="R86" s="165">
        <f t="shared" si="133"/>
        <v>1</v>
      </c>
      <c r="S86" s="165">
        <f t="shared" si="133"/>
        <v>1</v>
      </c>
      <c r="T86" s="165">
        <f t="shared" si="133"/>
        <v>1</v>
      </c>
      <c r="U86" s="165">
        <f t="shared" si="133"/>
        <v>1</v>
      </c>
      <c r="V86" s="165">
        <f t="shared" si="133"/>
        <v>1</v>
      </c>
      <c r="W86" s="165">
        <f t="shared" si="133"/>
        <v>1</v>
      </c>
      <c r="X86" s="165">
        <f t="shared" si="133"/>
        <v>1</v>
      </c>
      <c r="Y86" s="165">
        <f t="shared" si="133"/>
        <v>1</v>
      </c>
      <c r="Z86" s="165">
        <f t="shared" si="133"/>
        <v>1</v>
      </c>
      <c r="AA86" s="165">
        <f t="shared" si="133"/>
        <v>1</v>
      </c>
      <c r="AB86" s="165">
        <f t="shared" si="133"/>
        <v>1</v>
      </c>
      <c r="AC86" s="165">
        <f t="shared" si="133"/>
        <v>1</v>
      </c>
      <c r="AD86" s="165">
        <f t="shared" si="133"/>
        <v>1</v>
      </c>
      <c r="AE86" s="165">
        <f t="shared" si="133"/>
        <v>1</v>
      </c>
      <c r="AF86" s="165">
        <f t="shared" si="133"/>
        <v>1</v>
      </c>
      <c r="AG86" s="165">
        <f t="shared" si="133"/>
        <v>1</v>
      </c>
      <c r="AH86" s="165">
        <f t="shared" si="133"/>
        <v>1</v>
      </c>
      <c r="AI86" s="165">
        <f t="shared" si="133"/>
        <v>1</v>
      </c>
      <c r="AJ86" s="165">
        <f t="shared" si="133"/>
        <v>1</v>
      </c>
      <c r="AK86" s="165">
        <f t="shared" si="133"/>
        <v>1</v>
      </c>
      <c r="AL86" s="165">
        <f t="shared" si="133"/>
        <v>1</v>
      </c>
      <c r="AM86" s="165">
        <f t="shared" si="133"/>
        <v>1</v>
      </c>
      <c r="AN86" s="165">
        <f t="shared" si="133"/>
        <v>1</v>
      </c>
      <c r="AO86" s="165">
        <f t="shared" si="133"/>
        <v>1</v>
      </c>
      <c r="AP86" s="165">
        <f t="shared" si="133"/>
        <v>1</v>
      </c>
      <c r="AQ86" s="165">
        <f t="shared" si="133"/>
        <v>1</v>
      </c>
      <c r="AR86" s="165">
        <f t="shared" si="133"/>
        <v>1</v>
      </c>
      <c r="AS86" s="165">
        <f t="shared" si="133"/>
        <v>1</v>
      </c>
      <c r="AT86" s="165">
        <f t="shared" si="133"/>
        <v>1</v>
      </c>
      <c r="AU86" s="165">
        <f t="shared" si="133"/>
        <v>1</v>
      </c>
      <c r="AV86" s="165">
        <f t="shared" si="133"/>
        <v>1</v>
      </c>
      <c r="AW86" s="165">
        <f t="shared" si="133"/>
        <v>1</v>
      </c>
      <c r="AX86" s="165">
        <f t="shared" si="133"/>
        <v>1</v>
      </c>
      <c r="AY86" s="165">
        <f t="shared" si="133"/>
        <v>1</v>
      </c>
      <c r="AZ86" s="165">
        <f t="shared" si="133"/>
        <v>1</v>
      </c>
      <c r="BA86" s="165">
        <f t="shared" si="133"/>
        <v>1</v>
      </c>
      <c r="BB86" s="165">
        <f t="shared" si="133"/>
        <v>1</v>
      </c>
      <c r="BC86" s="165">
        <f t="shared" si="133"/>
        <v>1</v>
      </c>
      <c r="BD86" s="165">
        <f t="shared" si="133"/>
        <v>1</v>
      </c>
      <c r="BE86" s="165">
        <f t="shared" si="133"/>
        <v>1</v>
      </c>
      <c r="BF86" s="165">
        <f t="shared" si="133"/>
        <v>1</v>
      </c>
      <c r="BG86" s="165">
        <f t="shared" si="133"/>
        <v>1</v>
      </c>
      <c r="BH86" s="165">
        <f t="shared" si="133"/>
        <v>1</v>
      </c>
      <c r="BI86" s="165">
        <f t="shared" si="133"/>
        <v>1</v>
      </c>
    </row>
    <row r="87" spans="1:63" s="140" customFormat="1" ht="10.199999999999999" x14ac:dyDescent="0.25">
      <c r="I87" s="145"/>
      <c r="J87" s="145"/>
      <c r="K87" s="145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  <c r="AE87" s="146"/>
      <c r="AF87" s="146"/>
      <c r="AG87" s="146"/>
      <c r="AH87" s="146"/>
      <c r="AI87" s="146"/>
      <c r="AJ87" s="146"/>
      <c r="AK87" s="146"/>
      <c r="AL87" s="146"/>
      <c r="AM87" s="146"/>
      <c r="AN87" s="146"/>
      <c r="AO87" s="146"/>
      <c r="AP87" s="146"/>
      <c r="AQ87" s="146"/>
      <c r="AR87" s="146"/>
      <c r="AS87" s="146"/>
      <c r="AT87" s="146"/>
      <c r="AU87" s="146"/>
      <c r="AV87" s="146"/>
      <c r="AW87" s="146"/>
      <c r="AX87" s="146"/>
      <c r="AY87" s="146"/>
      <c r="AZ87" s="146"/>
      <c r="BA87" s="146"/>
      <c r="BB87" s="146"/>
      <c r="BC87" s="146"/>
      <c r="BD87" s="146"/>
      <c r="BE87" s="146"/>
      <c r="BF87" s="146"/>
      <c r="BG87" s="146"/>
      <c r="BH87" s="146"/>
      <c r="BI87" s="146"/>
    </row>
    <row r="88" spans="1:63" s="144" customFormat="1" ht="18" customHeight="1" x14ac:dyDescent="0.25">
      <c r="A88" s="368" t="s">
        <v>224</v>
      </c>
      <c r="B88" s="369"/>
      <c r="C88" s="374" t="s">
        <v>168</v>
      </c>
      <c r="D88" s="375"/>
      <c r="E88" s="375"/>
      <c r="F88" s="375"/>
      <c r="G88" s="376"/>
      <c r="H88" s="377"/>
      <c r="I88" s="377">
        <f>SUM(I68,I54)</f>
        <v>600745717.33256829</v>
      </c>
      <c r="J88" s="378"/>
      <c r="K88" s="378">
        <f>SUM(K68,K54)</f>
        <v>1</v>
      </c>
      <c r="L88" s="200">
        <f>SUMPRODUCT($I54:$I81,L54:L81)</f>
        <v>11604622.500000002</v>
      </c>
      <c r="M88" s="200">
        <f>SUMPRODUCT($I54:$I81,M54:M81)</f>
        <v>29011556.25</v>
      </c>
      <c r="N88" s="200">
        <f t="shared" ref="N88:BI88" si="134">SUMPRODUCT($I54:$I81,N54:N81)</f>
        <v>44543063.991628416</v>
      </c>
      <c r="O88" s="200">
        <f t="shared" si="134"/>
        <v>32563356.289954089</v>
      </c>
      <c r="P88" s="200">
        <f t="shared" si="134"/>
        <v>43417808.386605449</v>
      </c>
      <c r="Q88" s="200">
        <f t="shared" si="134"/>
        <v>48845034.434931129</v>
      </c>
      <c r="R88" s="200">
        <f t="shared" si="134"/>
        <v>54272260.483256832</v>
      </c>
      <c r="S88" s="200">
        <f t="shared" si="134"/>
        <v>65126712.579908177</v>
      </c>
      <c r="T88" s="200">
        <f t="shared" si="134"/>
        <v>54272260.483256832</v>
      </c>
      <c r="U88" s="200">
        <f t="shared" si="134"/>
        <v>43417808.386605449</v>
      </c>
      <c r="V88" s="200">
        <f t="shared" si="134"/>
        <v>32563356.289954089</v>
      </c>
      <c r="W88" s="200">
        <f t="shared" si="134"/>
        <v>27136130.241628416</v>
      </c>
      <c r="X88" s="200">
        <f t="shared" si="134"/>
        <v>27136130.241628416</v>
      </c>
      <c r="Y88" s="200">
        <f t="shared" si="134"/>
        <v>21708904.193302725</v>
      </c>
      <c r="Z88" s="200">
        <f t="shared" si="134"/>
        <v>21708904.193302725</v>
      </c>
      <c r="AA88" s="200">
        <f t="shared" si="134"/>
        <v>16281678.144977044</v>
      </c>
      <c r="AB88" s="200">
        <f t="shared" si="134"/>
        <v>16281678.144977044</v>
      </c>
      <c r="AC88" s="200">
        <f t="shared" si="134"/>
        <v>10854452.096651362</v>
      </c>
      <c r="AD88" s="200">
        <f t="shared" si="134"/>
        <v>0</v>
      </c>
      <c r="AE88" s="200">
        <f t="shared" si="134"/>
        <v>0</v>
      </c>
      <c r="AF88" s="200">
        <f t="shared" si="134"/>
        <v>0</v>
      </c>
      <c r="AG88" s="200">
        <f t="shared" si="134"/>
        <v>0</v>
      </c>
      <c r="AH88" s="200">
        <f t="shared" si="134"/>
        <v>0</v>
      </c>
      <c r="AI88" s="200">
        <f t="shared" si="134"/>
        <v>0</v>
      </c>
      <c r="AJ88" s="200">
        <f t="shared" si="134"/>
        <v>0</v>
      </c>
      <c r="AK88" s="200">
        <f t="shared" si="134"/>
        <v>0</v>
      </c>
      <c r="AL88" s="200">
        <f t="shared" si="134"/>
        <v>0</v>
      </c>
      <c r="AM88" s="200">
        <f t="shared" si="134"/>
        <v>0</v>
      </c>
      <c r="AN88" s="200">
        <f t="shared" si="134"/>
        <v>0</v>
      </c>
      <c r="AO88" s="200">
        <f t="shared" si="134"/>
        <v>0</v>
      </c>
      <c r="AP88" s="200">
        <f t="shared" si="134"/>
        <v>0</v>
      </c>
      <c r="AQ88" s="200">
        <f t="shared" si="134"/>
        <v>0</v>
      </c>
      <c r="AR88" s="200">
        <f t="shared" si="134"/>
        <v>0</v>
      </c>
      <c r="AS88" s="200">
        <f t="shared" si="134"/>
        <v>0</v>
      </c>
      <c r="AT88" s="200">
        <f t="shared" si="134"/>
        <v>0</v>
      </c>
      <c r="AU88" s="200">
        <f t="shared" si="134"/>
        <v>0</v>
      </c>
      <c r="AV88" s="200">
        <f t="shared" si="134"/>
        <v>0</v>
      </c>
      <c r="AW88" s="200">
        <f t="shared" si="134"/>
        <v>0</v>
      </c>
      <c r="AX88" s="200">
        <f t="shared" si="134"/>
        <v>0</v>
      </c>
      <c r="AY88" s="200">
        <f t="shared" si="134"/>
        <v>0</v>
      </c>
      <c r="AZ88" s="200">
        <f t="shared" si="134"/>
        <v>0</v>
      </c>
      <c r="BA88" s="200">
        <f t="shared" si="134"/>
        <v>0</v>
      </c>
      <c r="BB88" s="200">
        <f t="shared" si="134"/>
        <v>0</v>
      </c>
      <c r="BC88" s="200">
        <f t="shared" si="134"/>
        <v>0</v>
      </c>
      <c r="BD88" s="200">
        <f t="shared" si="134"/>
        <v>0</v>
      </c>
      <c r="BE88" s="200">
        <f t="shared" si="134"/>
        <v>0</v>
      </c>
      <c r="BF88" s="200">
        <f t="shared" si="134"/>
        <v>0</v>
      </c>
      <c r="BG88" s="200">
        <f t="shared" si="134"/>
        <v>0</v>
      </c>
      <c r="BH88" s="200">
        <f t="shared" si="134"/>
        <v>0</v>
      </c>
      <c r="BI88" s="200">
        <f t="shared" si="134"/>
        <v>0</v>
      </c>
    </row>
    <row r="89" spans="1:63" s="144" customFormat="1" ht="18" customHeight="1" x14ac:dyDescent="0.25">
      <c r="A89" s="370"/>
      <c r="B89" s="371"/>
      <c r="C89" s="374" t="s">
        <v>169</v>
      </c>
      <c r="D89" s="375"/>
      <c r="E89" s="375"/>
      <c r="F89" s="375"/>
      <c r="G89" s="376"/>
      <c r="H89" s="377"/>
      <c r="I89" s="377"/>
      <c r="J89" s="378"/>
      <c r="K89" s="378"/>
      <c r="L89" s="201">
        <f>L88+K88</f>
        <v>11604623.500000002</v>
      </c>
      <c r="M89" s="201">
        <f>M88+L89</f>
        <v>40616179.75</v>
      </c>
      <c r="N89" s="201">
        <f t="shared" ref="N89:BI89" si="135">N88+M89</f>
        <v>85159243.741628408</v>
      </c>
      <c r="O89" s="201">
        <f t="shared" si="135"/>
        <v>117722600.0315825</v>
      </c>
      <c r="P89" s="201">
        <f t="shared" si="135"/>
        <v>161140408.41818795</v>
      </c>
      <c r="Q89" s="201">
        <f t="shared" si="135"/>
        <v>209985442.85311908</v>
      </c>
      <c r="R89" s="201">
        <f t="shared" si="135"/>
        <v>264257703.33637589</v>
      </c>
      <c r="S89" s="201">
        <f t="shared" si="135"/>
        <v>329384415.91628408</v>
      </c>
      <c r="T89" s="201">
        <f t="shared" si="135"/>
        <v>383656676.3995409</v>
      </c>
      <c r="U89" s="201">
        <f t="shared" si="135"/>
        <v>427074484.78614634</v>
      </c>
      <c r="V89" s="201">
        <f t="shared" si="135"/>
        <v>459637841.07610041</v>
      </c>
      <c r="W89" s="201">
        <f t="shared" si="135"/>
        <v>486773971.31772882</v>
      </c>
      <c r="X89" s="201">
        <f t="shared" si="135"/>
        <v>513910101.55935723</v>
      </c>
      <c r="Y89" s="201">
        <f t="shared" si="135"/>
        <v>535619005.75265998</v>
      </c>
      <c r="Z89" s="201">
        <f t="shared" si="135"/>
        <v>557327909.94596267</v>
      </c>
      <c r="AA89" s="201">
        <f t="shared" si="135"/>
        <v>573609588.09093976</v>
      </c>
      <c r="AB89" s="201">
        <f t="shared" si="135"/>
        <v>589891266.23591685</v>
      </c>
      <c r="AC89" s="201">
        <f t="shared" si="135"/>
        <v>600745718.33256817</v>
      </c>
      <c r="AD89" s="201">
        <f t="shared" si="135"/>
        <v>600745718.33256817</v>
      </c>
      <c r="AE89" s="201">
        <f t="shared" si="135"/>
        <v>600745718.33256817</v>
      </c>
      <c r="AF89" s="201">
        <f t="shared" si="135"/>
        <v>600745718.33256817</v>
      </c>
      <c r="AG89" s="201">
        <f t="shared" si="135"/>
        <v>600745718.33256817</v>
      </c>
      <c r="AH89" s="201">
        <f t="shared" si="135"/>
        <v>600745718.33256817</v>
      </c>
      <c r="AI89" s="201">
        <f t="shared" si="135"/>
        <v>600745718.33256817</v>
      </c>
      <c r="AJ89" s="201">
        <f t="shared" si="135"/>
        <v>600745718.33256817</v>
      </c>
      <c r="AK89" s="201">
        <f t="shared" si="135"/>
        <v>600745718.33256817</v>
      </c>
      <c r="AL89" s="201">
        <f t="shared" si="135"/>
        <v>600745718.33256817</v>
      </c>
      <c r="AM89" s="201">
        <f t="shared" si="135"/>
        <v>600745718.33256817</v>
      </c>
      <c r="AN89" s="201">
        <f t="shared" si="135"/>
        <v>600745718.33256817</v>
      </c>
      <c r="AO89" s="201">
        <f t="shared" si="135"/>
        <v>600745718.33256817</v>
      </c>
      <c r="AP89" s="201">
        <f t="shared" si="135"/>
        <v>600745718.33256817</v>
      </c>
      <c r="AQ89" s="201">
        <f t="shared" si="135"/>
        <v>600745718.33256817</v>
      </c>
      <c r="AR89" s="201">
        <f t="shared" si="135"/>
        <v>600745718.33256817</v>
      </c>
      <c r="AS89" s="201">
        <f t="shared" si="135"/>
        <v>600745718.33256817</v>
      </c>
      <c r="AT89" s="201">
        <f t="shared" si="135"/>
        <v>600745718.33256817</v>
      </c>
      <c r="AU89" s="201">
        <f t="shared" si="135"/>
        <v>600745718.33256817</v>
      </c>
      <c r="AV89" s="201">
        <f t="shared" si="135"/>
        <v>600745718.33256817</v>
      </c>
      <c r="AW89" s="201">
        <f t="shared" si="135"/>
        <v>600745718.33256817</v>
      </c>
      <c r="AX89" s="201">
        <f t="shared" si="135"/>
        <v>600745718.33256817</v>
      </c>
      <c r="AY89" s="201">
        <f t="shared" si="135"/>
        <v>600745718.33256817</v>
      </c>
      <c r="AZ89" s="201">
        <f t="shared" si="135"/>
        <v>600745718.33256817</v>
      </c>
      <c r="BA89" s="201">
        <f t="shared" si="135"/>
        <v>600745718.33256817</v>
      </c>
      <c r="BB89" s="201">
        <f t="shared" si="135"/>
        <v>600745718.33256817</v>
      </c>
      <c r="BC89" s="201">
        <f t="shared" si="135"/>
        <v>600745718.33256817</v>
      </c>
      <c r="BD89" s="201">
        <f t="shared" si="135"/>
        <v>600745718.33256817</v>
      </c>
      <c r="BE89" s="201">
        <f t="shared" si="135"/>
        <v>600745718.33256817</v>
      </c>
      <c r="BF89" s="201">
        <f t="shared" si="135"/>
        <v>600745718.33256817</v>
      </c>
      <c r="BG89" s="201">
        <f t="shared" si="135"/>
        <v>600745718.33256817</v>
      </c>
      <c r="BH89" s="201">
        <f t="shared" si="135"/>
        <v>600745718.33256817</v>
      </c>
      <c r="BI89" s="201">
        <f t="shared" si="135"/>
        <v>600745718.33256817</v>
      </c>
    </row>
    <row r="90" spans="1:63" s="144" customFormat="1" ht="18" customHeight="1" x14ac:dyDescent="0.25">
      <c r="A90" s="370"/>
      <c r="B90" s="371"/>
      <c r="C90" s="374" t="s">
        <v>170</v>
      </c>
      <c r="D90" s="375"/>
      <c r="E90" s="375"/>
      <c r="F90" s="375"/>
      <c r="G90" s="376"/>
      <c r="H90" s="377"/>
      <c r="I90" s="377"/>
      <c r="J90" s="378"/>
      <c r="K90" s="378"/>
      <c r="L90" s="202">
        <f>L88/$I$88</f>
        <v>1.9317029094317737E-2</v>
      </c>
      <c r="M90" s="202">
        <f>M88/$I$88</f>
        <v>4.8292572735794341E-2</v>
      </c>
      <c r="N90" s="202">
        <f t="shared" ref="N90:BI90" si="136">N88/$I$88</f>
        <v>7.4146286367897177E-2</v>
      </c>
      <c r="O90" s="202">
        <f t="shared" si="136"/>
        <v>5.4204891271704664E-2</v>
      </c>
      <c r="P90" s="202">
        <f t="shared" si="136"/>
        <v>7.227318836227288E-2</v>
      </c>
      <c r="Q90" s="202">
        <f t="shared" si="136"/>
        <v>8.1307336907556996E-2</v>
      </c>
      <c r="R90" s="202">
        <f t="shared" si="136"/>
        <v>9.0341485452841139E-2</v>
      </c>
      <c r="S90" s="202">
        <f t="shared" si="136"/>
        <v>0.10840978254340933</v>
      </c>
      <c r="T90" s="202">
        <f t="shared" si="136"/>
        <v>9.0341485452841139E-2</v>
      </c>
      <c r="U90" s="202">
        <f t="shared" si="136"/>
        <v>7.227318836227288E-2</v>
      </c>
      <c r="V90" s="202">
        <f t="shared" si="136"/>
        <v>5.4204891271704664E-2</v>
      </c>
      <c r="W90" s="202">
        <f t="shared" si="136"/>
        <v>4.5170742726420569E-2</v>
      </c>
      <c r="X90" s="202">
        <f t="shared" si="136"/>
        <v>4.5170742726420569E-2</v>
      </c>
      <c r="Y90" s="202">
        <f t="shared" si="136"/>
        <v>3.613659418113644E-2</v>
      </c>
      <c r="Z90" s="202">
        <f t="shared" si="136"/>
        <v>3.613659418113644E-2</v>
      </c>
      <c r="AA90" s="202">
        <f t="shared" si="136"/>
        <v>2.7102445635852332E-2</v>
      </c>
      <c r="AB90" s="202">
        <f t="shared" si="136"/>
        <v>2.7102445635852332E-2</v>
      </c>
      <c r="AC90" s="202">
        <f t="shared" si="136"/>
        <v>1.806829709056822E-2</v>
      </c>
      <c r="AD90" s="202">
        <f t="shared" si="136"/>
        <v>0</v>
      </c>
      <c r="AE90" s="202">
        <f t="shared" si="136"/>
        <v>0</v>
      </c>
      <c r="AF90" s="202">
        <f t="shared" si="136"/>
        <v>0</v>
      </c>
      <c r="AG90" s="202">
        <f t="shared" si="136"/>
        <v>0</v>
      </c>
      <c r="AH90" s="202">
        <f t="shared" si="136"/>
        <v>0</v>
      </c>
      <c r="AI90" s="202">
        <f t="shared" si="136"/>
        <v>0</v>
      </c>
      <c r="AJ90" s="202">
        <f t="shared" si="136"/>
        <v>0</v>
      </c>
      <c r="AK90" s="202">
        <f t="shared" si="136"/>
        <v>0</v>
      </c>
      <c r="AL90" s="202">
        <f t="shared" si="136"/>
        <v>0</v>
      </c>
      <c r="AM90" s="202">
        <f t="shared" si="136"/>
        <v>0</v>
      </c>
      <c r="AN90" s="202">
        <f t="shared" si="136"/>
        <v>0</v>
      </c>
      <c r="AO90" s="202">
        <f t="shared" si="136"/>
        <v>0</v>
      </c>
      <c r="AP90" s="202">
        <f t="shared" si="136"/>
        <v>0</v>
      </c>
      <c r="AQ90" s="202">
        <f t="shared" si="136"/>
        <v>0</v>
      </c>
      <c r="AR90" s="202">
        <f t="shared" si="136"/>
        <v>0</v>
      </c>
      <c r="AS90" s="202">
        <f t="shared" si="136"/>
        <v>0</v>
      </c>
      <c r="AT90" s="202">
        <f t="shared" si="136"/>
        <v>0</v>
      </c>
      <c r="AU90" s="202">
        <f t="shared" si="136"/>
        <v>0</v>
      </c>
      <c r="AV90" s="202">
        <f t="shared" si="136"/>
        <v>0</v>
      </c>
      <c r="AW90" s="202">
        <f t="shared" si="136"/>
        <v>0</v>
      </c>
      <c r="AX90" s="202">
        <f t="shared" si="136"/>
        <v>0</v>
      </c>
      <c r="AY90" s="202">
        <f t="shared" si="136"/>
        <v>0</v>
      </c>
      <c r="AZ90" s="202">
        <f t="shared" si="136"/>
        <v>0</v>
      </c>
      <c r="BA90" s="202">
        <f t="shared" si="136"/>
        <v>0</v>
      </c>
      <c r="BB90" s="202">
        <f t="shared" si="136"/>
        <v>0</v>
      </c>
      <c r="BC90" s="202">
        <f t="shared" si="136"/>
        <v>0</v>
      </c>
      <c r="BD90" s="202">
        <f t="shared" si="136"/>
        <v>0</v>
      </c>
      <c r="BE90" s="202">
        <f t="shared" si="136"/>
        <v>0</v>
      </c>
      <c r="BF90" s="202">
        <f t="shared" si="136"/>
        <v>0</v>
      </c>
      <c r="BG90" s="202">
        <f t="shared" si="136"/>
        <v>0</v>
      </c>
      <c r="BH90" s="202">
        <f t="shared" si="136"/>
        <v>0</v>
      </c>
      <c r="BI90" s="202">
        <f t="shared" si="136"/>
        <v>0</v>
      </c>
    </row>
    <row r="91" spans="1:63" s="144" customFormat="1" ht="18" customHeight="1" x14ac:dyDescent="0.25">
      <c r="A91" s="372"/>
      <c r="B91" s="373"/>
      <c r="C91" s="374" t="s">
        <v>171</v>
      </c>
      <c r="D91" s="375"/>
      <c r="E91" s="375"/>
      <c r="F91" s="375"/>
      <c r="G91" s="376"/>
      <c r="H91" s="377"/>
      <c r="I91" s="377"/>
      <c r="J91" s="378"/>
      <c r="K91" s="378"/>
      <c r="L91" s="202">
        <f>L90</f>
        <v>1.9317029094317737E-2</v>
      </c>
      <c r="M91" s="202">
        <f t="shared" ref="M91" si="137">M90+L91</f>
        <v>6.7609601830112082E-2</v>
      </c>
      <c r="N91" s="202">
        <f t="shared" ref="N91" si="138">N90+M91</f>
        <v>0.14175588819800927</v>
      </c>
      <c r="O91" s="202">
        <f t="shared" ref="O91" si="139">O90+N91</f>
        <v>0.19596077946971394</v>
      </c>
      <c r="P91" s="202">
        <f t="shared" ref="P91" si="140">P90+O91</f>
        <v>0.26823396783198683</v>
      </c>
      <c r="Q91" s="202">
        <f t="shared" ref="Q91" si="141">Q90+P91</f>
        <v>0.34954130473954381</v>
      </c>
      <c r="R91" s="202">
        <f t="shared" ref="R91" si="142">R90+Q91</f>
        <v>0.43988279019238496</v>
      </c>
      <c r="S91" s="202">
        <f t="shared" ref="S91" si="143">S90+R91</f>
        <v>0.54829257273579435</v>
      </c>
      <c r="T91" s="202">
        <f t="shared" ref="T91" si="144">T90+S91</f>
        <v>0.6386340581886355</v>
      </c>
      <c r="U91" s="202">
        <f t="shared" ref="U91" si="145">U90+T91</f>
        <v>0.71090724655090842</v>
      </c>
      <c r="V91" s="202">
        <f t="shared" ref="V91" si="146">V90+U91</f>
        <v>0.76511213782261311</v>
      </c>
      <c r="W91" s="202">
        <f t="shared" ref="W91" si="147">W90+V91</f>
        <v>0.81028288054903364</v>
      </c>
      <c r="X91" s="202">
        <f t="shared" ref="X91" si="148">X90+W91</f>
        <v>0.85545362327545416</v>
      </c>
      <c r="Y91" s="202">
        <f t="shared" ref="Y91" si="149">Y90+X91</f>
        <v>0.89159021745659062</v>
      </c>
      <c r="Z91" s="202">
        <f t="shared" ref="Z91" si="150">Z90+Y91</f>
        <v>0.92772681163772708</v>
      </c>
      <c r="AA91" s="202">
        <f t="shared" ref="AA91" si="151">AA90+Z91</f>
        <v>0.95482925727357937</v>
      </c>
      <c r="AB91" s="202">
        <f t="shared" ref="AB91" si="152">AB90+AA91</f>
        <v>0.98193170290943166</v>
      </c>
      <c r="AC91" s="202">
        <f t="shared" ref="AC91" si="153">AC90+AB91</f>
        <v>0.99999999999999989</v>
      </c>
      <c r="AD91" s="202">
        <f t="shared" ref="AD91" si="154">AD90+AC91</f>
        <v>0.99999999999999989</v>
      </c>
      <c r="AE91" s="202">
        <f t="shared" ref="AE91" si="155">AE90+AD91</f>
        <v>0.99999999999999989</v>
      </c>
      <c r="AF91" s="202">
        <f t="shared" ref="AF91" si="156">AF90+AE91</f>
        <v>0.99999999999999989</v>
      </c>
      <c r="AG91" s="202">
        <f t="shared" ref="AG91" si="157">AG90+AF91</f>
        <v>0.99999999999999989</v>
      </c>
      <c r="AH91" s="202">
        <f t="shared" ref="AH91" si="158">AH90+AG91</f>
        <v>0.99999999999999989</v>
      </c>
      <c r="AI91" s="202">
        <f t="shared" ref="AI91" si="159">AI90+AH91</f>
        <v>0.99999999999999989</v>
      </c>
      <c r="AJ91" s="202">
        <f t="shared" ref="AJ91" si="160">AJ90+AI91</f>
        <v>0.99999999999999989</v>
      </c>
      <c r="AK91" s="202">
        <f t="shared" ref="AK91" si="161">AK90+AJ91</f>
        <v>0.99999999999999989</v>
      </c>
      <c r="AL91" s="202">
        <f t="shared" ref="AL91" si="162">AL90+AK91</f>
        <v>0.99999999999999989</v>
      </c>
      <c r="AM91" s="202">
        <f t="shared" ref="AM91" si="163">AM90+AL91</f>
        <v>0.99999999999999989</v>
      </c>
      <c r="AN91" s="202">
        <f t="shared" ref="AN91" si="164">AN90+AM91</f>
        <v>0.99999999999999989</v>
      </c>
      <c r="AO91" s="202">
        <f t="shared" ref="AO91" si="165">AO90+AN91</f>
        <v>0.99999999999999989</v>
      </c>
      <c r="AP91" s="202">
        <f t="shared" ref="AP91" si="166">AP90+AO91</f>
        <v>0.99999999999999989</v>
      </c>
      <c r="AQ91" s="202">
        <f t="shared" ref="AQ91" si="167">AQ90+AP91</f>
        <v>0.99999999999999989</v>
      </c>
      <c r="AR91" s="202">
        <f t="shared" ref="AR91" si="168">AR90+AQ91</f>
        <v>0.99999999999999989</v>
      </c>
      <c r="AS91" s="202">
        <f t="shared" ref="AS91" si="169">AS90+AR91</f>
        <v>0.99999999999999989</v>
      </c>
      <c r="AT91" s="202">
        <f t="shared" ref="AT91" si="170">AT90+AS91</f>
        <v>0.99999999999999989</v>
      </c>
      <c r="AU91" s="202">
        <f t="shared" ref="AU91" si="171">AU90+AT91</f>
        <v>0.99999999999999989</v>
      </c>
      <c r="AV91" s="202">
        <f t="shared" ref="AV91" si="172">AV90+AU91</f>
        <v>0.99999999999999989</v>
      </c>
      <c r="AW91" s="202">
        <f t="shared" ref="AW91" si="173">AW90+AV91</f>
        <v>0.99999999999999989</v>
      </c>
      <c r="AX91" s="202">
        <f t="shared" ref="AX91" si="174">AX90+AW91</f>
        <v>0.99999999999999989</v>
      </c>
      <c r="AY91" s="202">
        <f t="shared" ref="AY91" si="175">AY90+AX91</f>
        <v>0.99999999999999989</v>
      </c>
      <c r="AZ91" s="202">
        <f t="shared" ref="AZ91" si="176">AZ90+AY91</f>
        <v>0.99999999999999989</v>
      </c>
      <c r="BA91" s="202">
        <f t="shared" ref="BA91" si="177">BA90+AZ91</f>
        <v>0.99999999999999989</v>
      </c>
      <c r="BB91" s="202">
        <f t="shared" ref="BB91" si="178">BB90+BA91</f>
        <v>0.99999999999999989</v>
      </c>
      <c r="BC91" s="202">
        <f t="shared" ref="BC91" si="179">BC90+BB91</f>
        <v>0.99999999999999989</v>
      </c>
      <c r="BD91" s="202">
        <f t="shared" ref="BD91" si="180">BD90+BC91</f>
        <v>0.99999999999999989</v>
      </c>
      <c r="BE91" s="202">
        <f t="shared" ref="BE91" si="181">BE90+BD91</f>
        <v>0.99999999999999989</v>
      </c>
      <c r="BF91" s="202">
        <f t="shared" ref="BF91" si="182">BF90+BE91</f>
        <v>0.99999999999999989</v>
      </c>
      <c r="BG91" s="202">
        <f t="shared" ref="BG91" si="183">BG90+BF91</f>
        <v>0.99999999999999989</v>
      </c>
      <c r="BH91" s="202">
        <f t="shared" ref="BH91" si="184">BH90+BG91</f>
        <v>0.99999999999999989</v>
      </c>
      <c r="BI91" s="202">
        <f t="shared" ref="BI91" si="185">BI90+BH91</f>
        <v>0.99999999999999989</v>
      </c>
    </row>
    <row r="92" spans="1:63" s="140" customFormat="1" ht="10.199999999999999" x14ac:dyDescent="0.25">
      <c r="I92" s="145"/>
      <c r="J92" s="145"/>
      <c r="K92" s="145"/>
      <c r="L92" s="146"/>
      <c r="M92" s="146"/>
      <c r="N92" s="146"/>
      <c r="O92" s="146"/>
      <c r="P92" s="146"/>
      <c r="Q92" s="146"/>
      <c r="R92" s="146"/>
      <c r="S92" s="146"/>
      <c r="T92" s="139"/>
      <c r="U92" s="139"/>
      <c r="V92" s="139"/>
      <c r="W92" s="139"/>
      <c r="X92" s="139"/>
      <c r="Y92" s="139"/>
      <c r="Z92" s="139"/>
      <c r="AA92" s="139"/>
      <c r="AB92" s="139"/>
      <c r="AC92" s="139"/>
      <c r="AD92" s="139"/>
      <c r="AE92" s="139"/>
      <c r="AF92" s="139"/>
      <c r="AG92" s="139"/>
      <c r="AH92" s="139"/>
      <c r="AI92" s="139"/>
      <c r="AJ92" s="139"/>
      <c r="AK92" s="139"/>
      <c r="AL92" s="139"/>
      <c r="AM92" s="139"/>
      <c r="AN92" s="139"/>
      <c r="AO92" s="139"/>
      <c r="AP92" s="139"/>
      <c r="AQ92" s="139"/>
      <c r="AR92" s="139"/>
      <c r="AS92" s="139"/>
      <c r="AT92" s="139"/>
      <c r="AU92" s="139"/>
      <c r="AV92" s="139"/>
      <c r="AW92" s="139"/>
      <c r="AX92" s="139"/>
      <c r="AY92" s="139"/>
      <c r="AZ92" s="139"/>
      <c r="BA92" s="139"/>
      <c r="BB92" s="139"/>
      <c r="BC92" s="139"/>
      <c r="BD92" s="139"/>
      <c r="BE92" s="139"/>
      <c r="BF92" s="139"/>
      <c r="BG92" s="139"/>
      <c r="BH92" s="139"/>
      <c r="BI92" s="139"/>
    </row>
    <row r="93" spans="1:63" s="140" customFormat="1" ht="10.199999999999999" x14ac:dyDescent="0.25">
      <c r="I93" s="145"/>
      <c r="J93" s="145"/>
      <c r="K93" s="145"/>
      <c r="L93" s="146"/>
      <c r="M93" s="146"/>
      <c r="N93" s="146"/>
      <c r="O93" s="146"/>
      <c r="P93" s="146"/>
      <c r="Q93" s="146"/>
      <c r="R93" s="146"/>
      <c r="S93" s="146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  <c r="AF93" s="139"/>
      <c r="AG93" s="139"/>
      <c r="AH93" s="139"/>
      <c r="AI93" s="139"/>
      <c r="AJ93" s="139"/>
      <c r="AK93" s="139"/>
      <c r="AL93" s="139"/>
      <c r="AM93" s="139"/>
      <c r="AN93" s="139"/>
      <c r="AO93" s="139"/>
      <c r="AP93" s="139"/>
      <c r="AQ93" s="139"/>
      <c r="AR93" s="139"/>
      <c r="AS93" s="139"/>
      <c r="AT93" s="139"/>
      <c r="AU93" s="139"/>
      <c r="AV93" s="139"/>
      <c r="AW93" s="139"/>
      <c r="AX93" s="139"/>
      <c r="AY93" s="139"/>
      <c r="AZ93" s="139"/>
      <c r="BA93" s="139"/>
      <c r="BB93" s="139"/>
      <c r="BC93" s="139"/>
      <c r="BD93" s="139"/>
      <c r="BE93" s="139"/>
      <c r="BF93" s="139"/>
      <c r="BG93" s="139"/>
      <c r="BH93" s="139"/>
      <c r="BI93" s="139"/>
    </row>
    <row r="94" spans="1:63" s="47" customFormat="1" ht="21.75" customHeight="1" x14ac:dyDescent="0.25">
      <c r="A94" s="155" t="s">
        <v>54</v>
      </c>
      <c r="B94" s="203" t="str">
        <f>Empreendimentos!A57</f>
        <v>AL'DORA TOWN</v>
      </c>
      <c r="C94" s="156"/>
      <c r="D94" s="156"/>
      <c r="E94" s="157"/>
      <c r="F94" s="216">
        <f>SUM(F95,F99,F103,F109,F113)</f>
        <v>220220.09454000002</v>
      </c>
      <c r="G94" s="216">
        <f>SUM(G95,G99,G103,G109,G113)</f>
        <v>489891.80084754096</v>
      </c>
      <c r="H94" s="213">
        <f>SUM(H95,H99,H103,H109,H113)</f>
        <v>1709333432.1199999</v>
      </c>
      <c r="I94" s="213">
        <f>SUM(I95,I99,I103,I109,I113)</f>
        <v>1087354105.0330286</v>
      </c>
      <c r="J94" s="198">
        <f>H94/$H$118</f>
        <v>1</v>
      </c>
      <c r="K94" s="198">
        <f>I94/$I$123</f>
        <v>1</v>
      </c>
      <c r="L94" s="158"/>
      <c r="M94" s="159"/>
      <c r="N94" s="159"/>
      <c r="O94" s="159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  <c r="AA94" s="160"/>
      <c r="AB94" s="160"/>
      <c r="AC94" s="160"/>
      <c r="AD94" s="160"/>
      <c r="AE94" s="160"/>
      <c r="AF94" s="160"/>
      <c r="AG94" s="161"/>
      <c r="AH94" s="161"/>
      <c r="AI94" s="161"/>
      <c r="AJ94" s="161"/>
      <c r="AK94" s="161"/>
      <c r="AL94" s="161"/>
      <c r="AM94" s="161"/>
      <c r="AN94" s="161"/>
      <c r="AO94" s="161"/>
      <c r="AP94" s="161"/>
      <c r="AQ94" s="161"/>
      <c r="AR94" s="161"/>
      <c r="AS94" s="161"/>
      <c r="AT94" s="161"/>
      <c r="AU94" s="161"/>
      <c r="AV94" s="161"/>
      <c r="AW94" s="161"/>
      <c r="AX94" s="161"/>
      <c r="AY94" s="161"/>
      <c r="AZ94" s="161"/>
      <c r="BA94" s="161"/>
      <c r="BB94" s="161"/>
      <c r="BC94" s="161"/>
      <c r="BD94" s="161"/>
      <c r="BE94" s="161"/>
      <c r="BF94" s="161"/>
      <c r="BG94" s="161"/>
      <c r="BH94" s="161"/>
      <c r="BI94" s="162"/>
      <c r="BJ94" s="119">
        <f>SUM(L94:BI94)</f>
        <v>0</v>
      </c>
      <c r="BK94" s="33"/>
    </row>
    <row r="95" spans="1:63" ht="21.75" customHeight="1" x14ac:dyDescent="0.25">
      <c r="A95" s="193" t="str">
        <f>Empreendimentos!B58</f>
        <v>QAT01</v>
      </c>
      <c r="B95" s="154" t="str">
        <f>Empreendimentos!C58</f>
        <v>Residencial multifamiliar</v>
      </c>
      <c r="C95" s="170"/>
      <c r="D95" s="153"/>
      <c r="E95" s="172"/>
      <c r="F95" s="212">
        <f>SUM(F96:F97)</f>
        <v>55488.593419999997</v>
      </c>
      <c r="G95" s="212">
        <f>SUM(G96:G97)</f>
        <v>83252.66510983606</v>
      </c>
      <c r="H95" s="192">
        <f>SUM(H96:H98)</f>
        <v>390832701.48000002</v>
      </c>
      <c r="I95" s="192">
        <f>SUM(I96:I98)</f>
        <v>217984953.84249443</v>
      </c>
      <c r="J95" s="205">
        <f t="shared" ref="J95:J115" si="186">H95/$H$118</f>
        <v>0.22864626300280688</v>
      </c>
      <c r="K95" s="205">
        <f t="shared" ref="K95:K115" si="187">I95/$I$123</f>
        <v>0.20047282925912446</v>
      </c>
      <c r="L95" s="114"/>
      <c r="M95" s="115"/>
      <c r="N95" s="115"/>
      <c r="O95" s="115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7"/>
      <c r="AH95" s="117"/>
      <c r="AI95" s="117"/>
      <c r="AJ95" s="117"/>
      <c r="AK95" s="117"/>
      <c r="AL95" s="117"/>
      <c r="AM95" s="117"/>
      <c r="AN95" s="117"/>
      <c r="AO95" s="117"/>
      <c r="AP95" s="117"/>
      <c r="AQ95" s="117"/>
      <c r="AR95" s="117"/>
      <c r="AS95" s="117"/>
      <c r="AT95" s="117"/>
      <c r="AU95" s="117"/>
      <c r="AV95" s="117"/>
      <c r="AW95" s="117"/>
      <c r="AX95" s="117"/>
      <c r="AY95" s="117"/>
      <c r="AZ95" s="117"/>
      <c r="BA95" s="117"/>
      <c r="BB95" s="117"/>
      <c r="BC95" s="117"/>
      <c r="BD95" s="117"/>
      <c r="BE95" s="117"/>
      <c r="BF95" s="117"/>
      <c r="BG95" s="117"/>
      <c r="BH95" s="117"/>
      <c r="BI95" s="118"/>
      <c r="BJ95" s="119">
        <f>SUM(L95:BI95)</f>
        <v>0</v>
      </c>
      <c r="BK95" s="11"/>
    </row>
    <row r="96" spans="1:63" ht="21.75" customHeight="1" outlineLevel="1" x14ac:dyDescent="0.25">
      <c r="A96" s="209">
        <f>Empreendimentos!B84</f>
        <v>0</v>
      </c>
      <c r="B96" s="210" t="str">
        <f>Empreendimentos!C58</f>
        <v>Residencial multifamiliar</v>
      </c>
      <c r="C96" s="220" t="str">
        <f>$C$339</f>
        <v>Médio</v>
      </c>
      <c r="D96" s="148">
        <f>Empreendimentos!L58</f>
        <v>4</v>
      </c>
      <c r="E96" s="173">
        <f>Empreendimentos!M58</f>
        <v>104.38907625</v>
      </c>
      <c r="F96" s="149">
        <f>Empreendimentos!H58</f>
        <v>43425.85572</v>
      </c>
      <c r="G96" s="149">
        <f>Empreendimentos!I58</f>
        <v>71189.927409836062</v>
      </c>
      <c r="H96" s="179">
        <f>F96*VLOOKUP(C96,$C$337:$E$351,2,FALSE)</f>
        <v>390832701.48000002</v>
      </c>
      <c r="I96" s="180">
        <f>G96*VLOOKUP(C96,$C$337:$E$344,3,FALSE)</f>
        <v>214969269.41749442</v>
      </c>
      <c r="J96" s="204">
        <f t="shared" si="186"/>
        <v>0.22864626300280688</v>
      </c>
      <c r="K96" s="204">
        <f t="shared" si="187"/>
        <v>0.19769941403859848</v>
      </c>
      <c r="L96" s="123"/>
      <c r="M96" s="124">
        <f>'Cronogramaa Fisico'!E20</f>
        <v>0</v>
      </c>
      <c r="N96" s="124">
        <f>'Cronogramaa Fisico'!F20</f>
        <v>0.02</v>
      </c>
      <c r="O96" s="124">
        <f>'Cronogramaa Fisico'!G20</f>
        <v>0.03</v>
      </c>
      <c r="P96" s="124">
        <f>'Cronogramaa Fisico'!H20</f>
        <v>0.04</v>
      </c>
      <c r="Q96" s="124">
        <f>'Cronogramaa Fisico'!I20</f>
        <v>0.06</v>
      </c>
      <c r="R96" s="124">
        <f>'Cronogramaa Fisico'!J20</f>
        <v>7.0000000000000007E-2</v>
      </c>
      <c r="S96" s="124">
        <f>'Cronogramaa Fisico'!K20</f>
        <v>0.08</v>
      </c>
      <c r="T96" s="124">
        <f>'Cronogramaa Fisico'!L20</f>
        <v>0.1</v>
      </c>
      <c r="U96" s="124">
        <f>'Cronogramaa Fisico'!M20</f>
        <v>0.1</v>
      </c>
      <c r="V96" s="124">
        <f>'Cronogramaa Fisico'!N20</f>
        <v>0.11</v>
      </c>
      <c r="W96" s="124">
        <f>'Cronogramaa Fisico'!O20</f>
        <v>0.1</v>
      </c>
      <c r="X96" s="124">
        <f>'Cronogramaa Fisico'!P20</f>
        <v>0.1</v>
      </c>
      <c r="Y96" s="124">
        <f>'Cronogramaa Fisico'!Q20</f>
        <v>0.08</v>
      </c>
      <c r="Z96" s="124">
        <f>'Cronogramaa Fisico'!R20</f>
        <v>0.06</v>
      </c>
      <c r="AA96" s="124">
        <f>'Cronogramaa Fisico'!S20</f>
        <v>0.04</v>
      </c>
      <c r="AB96" s="124">
        <f>'Cronogramaa Fisico'!T20</f>
        <v>0.01</v>
      </c>
      <c r="AC96" s="124">
        <f>'Cronogramaa Fisico'!U20</f>
        <v>0</v>
      </c>
      <c r="AD96" s="124">
        <f>'Cronogramaa Fisico'!V20</f>
        <v>0</v>
      </c>
      <c r="AE96" s="124">
        <f>'Cronogramaa Fisico'!W20</f>
        <v>0</v>
      </c>
      <c r="AF96" s="124">
        <f>'Cronogramaa Fisico'!X20</f>
        <v>0</v>
      </c>
      <c r="AG96" s="124">
        <f>'Cronogramaa Fisico'!Y20</f>
        <v>0</v>
      </c>
      <c r="AH96" s="124">
        <f>'Cronogramaa Fisico'!Z20</f>
        <v>0</v>
      </c>
      <c r="AI96" s="124">
        <f>'Cronogramaa Fisico'!AA20</f>
        <v>0</v>
      </c>
      <c r="AJ96" s="225"/>
      <c r="AK96" s="225"/>
      <c r="AL96" s="225"/>
      <c r="AM96" s="225"/>
      <c r="AN96" s="225"/>
      <c r="AO96" s="225"/>
      <c r="AP96" s="225"/>
      <c r="AQ96" s="225"/>
      <c r="AR96" s="225"/>
      <c r="AS96" s="225"/>
      <c r="AT96" s="225"/>
      <c r="AU96" s="225"/>
      <c r="AV96" s="225"/>
      <c r="AW96" s="225"/>
      <c r="AX96" s="225"/>
      <c r="AY96" s="225"/>
      <c r="AZ96" s="225"/>
      <c r="BA96" s="225"/>
      <c r="BB96" s="225"/>
      <c r="BC96" s="225"/>
      <c r="BD96" s="225"/>
      <c r="BE96" s="225"/>
      <c r="BF96" s="225"/>
      <c r="BG96" s="225"/>
      <c r="BH96" s="225"/>
      <c r="BI96" s="127"/>
      <c r="BJ96" s="119">
        <f>SUM(L96:BI96)</f>
        <v>1</v>
      </c>
    </row>
    <row r="97" spans="1:63" ht="21.75" customHeight="1" outlineLevel="1" x14ac:dyDescent="0.25">
      <c r="A97" s="209"/>
      <c r="B97" s="219" t="s">
        <v>232</v>
      </c>
      <c r="C97" s="220" t="str">
        <f>$C$343</f>
        <v>Lote aberto</v>
      </c>
      <c r="D97" s="148">
        <f>Empreendimentos!L58</f>
        <v>4</v>
      </c>
      <c r="E97" s="173">
        <f>Empreendimentos!K58</f>
        <v>3015.6844249999999</v>
      </c>
      <c r="F97" s="149">
        <f>Empreendimentos!D58</f>
        <v>12062.7377</v>
      </c>
      <c r="G97" s="149">
        <f>F97</f>
        <v>12062.7377</v>
      </c>
      <c r="H97" s="179"/>
      <c r="I97" s="180">
        <f>G97*VLOOKUP(C97,$C$337:$E$344,3,FALSE)</f>
        <v>3015684.4249999998</v>
      </c>
      <c r="J97" s="204">
        <f t="shared" si="186"/>
        <v>0</v>
      </c>
      <c r="K97" s="204">
        <f t="shared" si="187"/>
        <v>2.7734152205259738E-3</v>
      </c>
      <c r="L97" s="123">
        <f>'Cronogramaa Fisico'!$D$17</f>
        <v>0</v>
      </c>
      <c r="M97" s="124">
        <f>'Cronogramaa Fisico'!E17</f>
        <v>0.4</v>
      </c>
      <c r="N97" s="124">
        <f>'Cronogramaa Fisico'!F17</f>
        <v>0.6</v>
      </c>
      <c r="O97" s="124">
        <f>'Cronogramaa Fisico'!G17</f>
        <v>0</v>
      </c>
      <c r="P97" s="124">
        <f>'Cronogramaa Fisico'!H17</f>
        <v>0</v>
      </c>
      <c r="Q97" s="124">
        <f>'Cronogramaa Fisico'!I17</f>
        <v>0</v>
      </c>
      <c r="R97" s="124">
        <f>'Cronogramaa Fisico'!J17</f>
        <v>0</v>
      </c>
      <c r="S97" s="124">
        <f>'Cronogramaa Fisico'!K17</f>
        <v>0</v>
      </c>
      <c r="T97" s="124">
        <f>'Cronogramaa Fisico'!L17</f>
        <v>0</v>
      </c>
      <c r="U97" s="124">
        <f>'Cronogramaa Fisico'!M17</f>
        <v>0</v>
      </c>
      <c r="V97" s="124">
        <f>'Cronogramaa Fisico'!N17</f>
        <v>0</v>
      </c>
      <c r="W97" s="124">
        <f>'Cronogramaa Fisico'!O17</f>
        <v>0</v>
      </c>
      <c r="X97" s="124">
        <f>'Cronogramaa Fisico'!P17</f>
        <v>0</v>
      </c>
      <c r="Y97" s="124">
        <f>'Cronogramaa Fisico'!Q17</f>
        <v>0</v>
      </c>
      <c r="Z97" s="124">
        <f>'Cronogramaa Fisico'!R17</f>
        <v>0</v>
      </c>
      <c r="AA97" s="124">
        <f>'Cronogramaa Fisico'!S17</f>
        <v>0</v>
      </c>
      <c r="AB97" s="124">
        <f>'Cronogramaa Fisico'!T17</f>
        <v>0</v>
      </c>
      <c r="AC97" s="124">
        <f>'Cronogramaa Fisico'!U17</f>
        <v>0</v>
      </c>
      <c r="AD97" s="124">
        <f>'Cronogramaa Fisico'!V17</f>
        <v>0</v>
      </c>
      <c r="AE97" s="124">
        <f>'Cronogramaa Fisico'!W17</f>
        <v>0</v>
      </c>
      <c r="AF97" s="124">
        <f>'Cronogramaa Fisico'!X17</f>
        <v>0</v>
      </c>
      <c r="AG97" s="124">
        <f>'Cronogramaa Fisico'!Y17</f>
        <v>0</v>
      </c>
      <c r="AH97" s="124">
        <f>'Cronogramaa Fisico'!Z17</f>
        <v>0</v>
      </c>
      <c r="AI97" s="124">
        <f>'Cronogramaa Fisico'!AA17</f>
        <v>0</v>
      </c>
      <c r="AJ97" s="225"/>
      <c r="AK97" s="225"/>
      <c r="AL97" s="225"/>
      <c r="AM97" s="225"/>
      <c r="AN97" s="225"/>
      <c r="AO97" s="225"/>
      <c r="AP97" s="225"/>
      <c r="AQ97" s="225"/>
      <c r="AR97" s="225"/>
      <c r="AS97" s="225"/>
      <c r="AT97" s="225"/>
      <c r="AU97" s="225"/>
      <c r="AV97" s="225"/>
      <c r="AW97" s="225"/>
      <c r="AX97" s="225"/>
      <c r="AY97" s="225"/>
      <c r="AZ97" s="225"/>
      <c r="BA97" s="225"/>
      <c r="BB97" s="225"/>
      <c r="BC97" s="225"/>
      <c r="BD97" s="225"/>
      <c r="BE97" s="225"/>
      <c r="BF97" s="225"/>
      <c r="BG97" s="225"/>
      <c r="BH97" s="225"/>
      <c r="BI97" s="127"/>
      <c r="BJ97" s="119">
        <f>SUM(L97:BI97)</f>
        <v>1</v>
      </c>
    </row>
    <row r="98" spans="1:63" ht="9.6" customHeight="1" x14ac:dyDescent="0.25">
      <c r="A98" s="209"/>
      <c r="B98" s="210"/>
      <c r="C98" s="174"/>
      <c r="D98" s="148"/>
      <c r="E98" s="173"/>
      <c r="F98" s="149"/>
      <c r="G98" s="149"/>
      <c r="H98" s="179"/>
      <c r="I98" s="180"/>
      <c r="J98" s="204">
        <f t="shared" si="186"/>
        <v>0</v>
      </c>
      <c r="K98" s="204">
        <f t="shared" si="187"/>
        <v>0</v>
      </c>
      <c r="L98" s="123"/>
      <c r="M98" s="124"/>
      <c r="N98" s="124"/>
      <c r="O98" s="124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  <c r="AF98" s="125"/>
      <c r="AG98" s="126"/>
      <c r="AH98" s="126"/>
      <c r="AI98" s="126"/>
      <c r="AJ98" s="126"/>
      <c r="AK98" s="126"/>
      <c r="AL98" s="126"/>
      <c r="AM98" s="126"/>
      <c r="AN98" s="126"/>
      <c r="AO98" s="126"/>
      <c r="AP98" s="126"/>
      <c r="AQ98" s="126"/>
      <c r="AR98" s="126"/>
      <c r="AS98" s="126"/>
      <c r="AT98" s="126"/>
      <c r="AU98" s="126"/>
      <c r="AV98" s="126"/>
      <c r="AW98" s="126"/>
      <c r="AX98" s="126"/>
      <c r="AY98" s="126"/>
      <c r="AZ98" s="126"/>
      <c r="BA98" s="126"/>
      <c r="BB98" s="126"/>
      <c r="BC98" s="126"/>
      <c r="BD98" s="126"/>
      <c r="BE98" s="126"/>
      <c r="BF98" s="126"/>
      <c r="BG98" s="126"/>
      <c r="BH98" s="126"/>
      <c r="BI98" s="127"/>
      <c r="BJ98" s="119"/>
    </row>
    <row r="99" spans="1:63" ht="21.75" customHeight="1" x14ac:dyDescent="0.25">
      <c r="A99" s="193" t="str">
        <f>Empreendimentos!B60</f>
        <v>QAT02</v>
      </c>
      <c r="B99" s="154" t="s">
        <v>17</v>
      </c>
      <c r="C99" s="197"/>
      <c r="D99" s="188"/>
      <c r="E99" s="189"/>
      <c r="F99" s="190">
        <f>SUM(F100:F101)</f>
        <v>7140.0640000000003</v>
      </c>
      <c r="G99" s="190">
        <f>SUM(G100:G101)</f>
        <v>17850.16</v>
      </c>
      <c r="H99" s="191">
        <f>SUM(H100:H101)</f>
        <v>71400640</v>
      </c>
      <c r="I99" s="191">
        <f>SUM(I100:I101)</f>
        <v>37039082</v>
      </c>
      <c r="J99" s="205">
        <f t="shared" si="186"/>
        <v>4.1771042827756191E-2</v>
      </c>
      <c r="K99" s="205">
        <f t="shared" si="187"/>
        <v>3.4063495809283702E-2</v>
      </c>
      <c r="L99" s="114"/>
      <c r="M99" s="115"/>
      <c r="N99" s="115"/>
      <c r="O99" s="115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7"/>
      <c r="AH99" s="117"/>
      <c r="AI99" s="117"/>
      <c r="AJ99" s="117"/>
      <c r="AK99" s="117"/>
      <c r="AL99" s="117"/>
      <c r="AM99" s="117"/>
      <c r="AN99" s="117"/>
      <c r="AO99" s="117"/>
      <c r="AP99" s="117"/>
      <c r="AQ99" s="117"/>
      <c r="AR99" s="117"/>
      <c r="AS99" s="117"/>
      <c r="AT99" s="117"/>
      <c r="AU99" s="117"/>
      <c r="AV99" s="117"/>
      <c r="AW99" s="117"/>
      <c r="AX99" s="117"/>
      <c r="AY99" s="117"/>
      <c r="AZ99" s="117"/>
      <c r="BA99" s="117"/>
      <c r="BB99" s="117"/>
      <c r="BC99" s="117"/>
      <c r="BD99" s="117"/>
      <c r="BE99" s="117"/>
      <c r="BF99" s="117"/>
      <c r="BG99" s="117"/>
      <c r="BH99" s="117"/>
      <c r="BI99" s="118"/>
      <c r="BJ99" s="119"/>
      <c r="BK99" s="11"/>
    </row>
    <row r="100" spans="1:63" ht="21.75" customHeight="1" outlineLevel="1" x14ac:dyDescent="0.25">
      <c r="A100" s="209">
        <f>Empreendimentos!B88</f>
        <v>0</v>
      </c>
      <c r="B100" s="210" t="str">
        <f>Empreendimentos!C60</f>
        <v>Mall</v>
      </c>
      <c r="C100" s="220" t="str">
        <f>$C$346</f>
        <v>Mall</v>
      </c>
      <c r="D100" s="148"/>
      <c r="E100" s="173"/>
      <c r="F100" s="149">
        <f>Empreendimentos!H60</f>
        <v>7140.0640000000003</v>
      </c>
      <c r="G100" s="149">
        <f>Empreendimentos!I60</f>
        <v>8925.08</v>
      </c>
      <c r="H100" s="179">
        <f>F100*VLOOKUP(C100,$C$337:$E$351,2,FALSE)</f>
        <v>71400640</v>
      </c>
      <c r="I100" s="180">
        <f>G100*VLOOKUP(C100,$C$337:$E$351,3,FALSE)</f>
        <v>34807812</v>
      </c>
      <c r="J100" s="204">
        <f t="shared" si="186"/>
        <v>4.1771042827756191E-2</v>
      </c>
      <c r="K100" s="204">
        <f t="shared" si="187"/>
        <v>3.2011477989447333E-2</v>
      </c>
      <c r="L100" s="123"/>
      <c r="M100" s="124">
        <f>'Cronogramaa Fisico'!E18</f>
        <v>0</v>
      </c>
      <c r="N100" s="124">
        <f>'Cronogramaa Fisico'!F18</f>
        <v>0.2</v>
      </c>
      <c r="O100" s="124">
        <f>'Cronogramaa Fisico'!G18</f>
        <v>0.4</v>
      </c>
      <c r="P100" s="124">
        <f>'Cronogramaa Fisico'!H18</f>
        <v>0</v>
      </c>
      <c r="Q100" s="124">
        <f>'Cronogramaa Fisico'!I18</f>
        <v>0</v>
      </c>
      <c r="R100" s="124">
        <f>'Cronogramaa Fisico'!J18</f>
        <v>0</v>
      </c>
      <c r="S100" s="124">
        <f>'Cronogramaa Fisico'!K18</f>
        <v>0</v>
      </c>
      <c r="T100" s="124">
        <f>'Cronogramaa Fisico'!L18</f>
        <v>0.2</v>
      </c>
      <c r="U100" s="124">
        <f>'Cronogramaa Fisico'!M18</f>
        <v>0.2</v>
      </c>
      <c r="V100" s="124">
        <f>'Cronogramaa Fisico'!N18</f>
        <v>0</v>
      </c>
      <c r="W100" s="124">
        <f>'Cronogramaa Fisico'!O18</f>
        <v>0</v>
      </c>
      <c r="X100" s="124">
        <f>'Cronogramaa Fisico'!P18</f>
        <v>0</v>
      </c>
      <c r="Y100" s="124">
        <f>'Cronogramaa Fisico'!Q18</f>
        <v>0</v>
      </c>
      <c r="Z100" s="124">
        <f>'Cronogramaa Fisico'!R18</f>
        <v>0</v>
      </c>
      <c r="AA100" s="124">
        <f>'Cronogramaa Fisico'!S18</f>
        <v>0</v>
      </c>
      <c r="AB100" s="124">
        <f>'Cronogramaa Fisico'!T18</f>
        <v>0</v>
      </c>
      <c r="AC100" s="124">
        <f>'Cronogramaa Fisico'!U18</f>
        <v>0</v>
      </c>
      <c r="AD100" s="124">
        <f>'Cronogramaa Fisico'!V18</f>
        <v>0</v>
      </c>
      <c r="AE100" s="124">
        <f>'Cronogramaa Fisico'!W18</f>
        <v>0</v>
      </c>
      <c r="AF100" s="124">
        <f>'Cronogramaa Fisico'!X18</f>
        <v>0</v>
      </c>
      <c r="AG100" s="124">
        <f>'Cronogramaa Fisico'!Y18</f>
        <v>0</v>
      </c>
      <c r="AH100" s="124">
        <f>'Cronogramaa Fisico'!Z18</f>
        <v>0</v>
      </c>
      <c r="AI100" s="126"/>
      <c r="AJ100" s="126"/>
      <c r="AK100" s="126"/>
      <c r="AL100" s="126"/>
      <c r="AM100" s="126"/>
      <c r="AN100" s="126"/>
      <c r="AO100" s="126"/>
      <c r="AP100" s="126"/>
      <c r="AQ100" s="126"/>
      <c r="AR100" s="126"/>
      <c r="AS100" s="126"/>
      <c r="AT100" s="126"/>
      <c r="AU100" s="126"/>
      <c r="AV100" s="126"/>
      <c r="AW100" s="126"/>
      <c r="AX100" s="126"/>
      <c r="AY100" s="126"/>
      <c r="AZ100" s="126"/>
      <c r="BA100" s="126"/>
      <c r="BB100" s="126"/>
      <c r="BC100" s="126"/>
      <c r="BD100" s="126"/>
      <c r="BE100" s="126"/>
      <c r="BF100" s="126"/>
      <c r="BG100" s="126"/>
      <c r="BH100" s="126"/>
      <c r="BI100" s="127"/>
      <c r="BJ100" s="119">
        <f>SUM(L100:BI100)</f>
        <v>1</v>
      </c>
    </row>
    <row r="101" spans="1:63" ht="21.75" customHeight="1" outlineLevel="1" x14ac:dyDescent="0.25">
      <c r="A101" s="209"/>
      <c r="B101" s="219" t="s">
        <v>232</v>
      </c>
      <c r="C101" s="220" t="str">
        <f>$C$343</f>
        <v>Lote aberto</v>
      </c>
      <c r="D101" s="148"/>
      <c r="E101" s="173"/>
      <c r="F101" s="149"/>
      <c r="G101" s="149">
        <f>Empreendimentos!D60</f>
        <v>8925.08</v>
      </c>
      <c r="H101" s="179"/>
      <c r="I101" s="180">
        <f>G101*VLOOKUP(C101,$C$337:$E$351,3,FALSE)</f>
        <v>2231270</v>
      </c>
      <c r="J101" s="204">
        <f t="shared" si="186"/>
        <v>0</v>
      </c>
      <c r="K101" s="204">
        <f t="shared" si="187"/>
        <v>2.0520178198363678E-3</v>
      </c>
      <c r="L101" s="123">
        <f>L97</f>
        <v>0</v>
      </c>
      <c r="M101" s="124">
        <f t="shared" ref="M101:AI101" si="188">M97</f>
        <v>0.4</v>
      </c>
      <c r="N101" s="124">
        <f t="shared" si="188"/>
        <v>0.6</v>
      </c>
      <c r="O101" s="124">
        <f t="shared" si="188"/>
        <v>0</v>
      </c>
      <c r="P101" s="124">
        <f t="shared" si="188"/>
        <v>0</v>
      </c>
      <c r="Q101" s="124">
        <f t="shared" si="188"/>
        <v>0</v>
      </c>
      <c r="R101" s="124">
        <f t="shared" si="188"/>
        <v>0</v>
      </c>
      <c r="S101" s="124">
        <f t="shared" si="188"/>
        <v>0</v>
      </c>
      <c r="T101" s="124">
        <f t="shared" si="188"/>
        <v>0</v>
      </c>
      <c r="U101" s="124">
        <f t="shared" si="188"/>
        <v>0</v>
      </c>
      <c r="V101" s="124">
        <f t="shared" si="188"/>
        <v>0</v>
      </c>
      <c r="W101" s="124">
        <f t="shared" si="188"/>
        <v>0</v>
      </c>
      <c r="X101" s="124">
        <f t="shared" si="188"/>
        <v>0</v>
      </c>
      <c r="Y101" s="124">
        <f t="shared" si="188"/>
        <v>0</v>
      </c>
      <c r="Z101" s="124">
        <f t="shared" si="188"/>
        <v>0</v>
      </c>
      <c r="AA101" s="124">
        <f t="shared" si="188"/>
        <v>0</v>
      </c>
      <c r="AB101" s="124">
        <f t="shared" si="188"/>
        <v>0</v>
      </c>
      <c r="AC101" s="124">
        <f t="shared" si="188"/>
        <v>0</v>
      </c>
      <c r="AD101" s="124">
        <f t="shared" si="188"/>
        <v>0</v>
      </c>
      <c r="AE101" s="124">
        <f t="shared" si="188"/>
        <v>0</v>
      </c>
      <c r="AF101" s="124">
        <f t="shared" si="188"/>
        <v>0</v>
      </c>
      <c r="AG101" s="124">
        <f t="shared" si="188"/>
        <v>0</v>
      </c>
      <c r="AH101" s="124">
        <f t="shared" si="188"/>
        <v>0</v>
      </c>
      <c r="AI101" s="124">
        <f t="shared" si="188"/>
        <v>0</v>
      </c>
      <c r="AJ101" s="225"/>
      <c r="AK101" s="225"/>
      <c r="AL101" s="225"/>
      <c r="AM101" s="225"/>
      <c r="AN101" s="225"/>
      <c r="AO101" s="225"/>
      <c r="AP101" s="225"/>
      <c r="AQ101" s="225"/>
      <c r="AR101" s="225"/>
      <c r="AS101" s="225"/>
      <c r="AT101" s="225"/>
      <c r="AU101" s="225"/>
      <c r="AV101" s="225"/>
      <c r="AW101" s="225"/>
      <c r="AX101" s="225"/>
      <c r="AY101" s="225"/>
      <c r="AZ101" s="225"/>
      <c r="BA101" s="225"/>
      <c r="BB101" s="225"/>
      <c r="BC101" s="225"/>
      <c r="BD101" s="225"/>
      <c r="BE101" s="225"/>
      <c r="BF101" s="225"/>
      <c r="BG101" s="225"/>
      <c r="BH101" s="225"/>
      <c r="BI101" s="127"/>
      <c r="BJ101" s="119">
        <f>SUM(L101:BI101)</f>
        <v>1</v>
      </c>
    </row>
    <row r="102" spans="1:63" ht="9.6" customHeight="1" x14ac:dyDescent="0.25">
      <c r="A102" s="120"/>
      <c r="B102" s="219"/>
      <c r="C102" s="174"/>
      <c r="D102" s="148"/>
      <c r="E102" s="173"/>
      <c r="F102" s="149"/>
      <c r="G102" s="149"/>
      <c r="H102" s="179"/>
      <c r="I102" s="180"/>
      <c r="J102" s="204">
        <f t="shared" si="186"/>
        <v>0</v>
      </c>
      <c r="K102" s="204">
        <f t="shared" si="187"/>
        <v>0</v>
      </c>
      <c r="L102" s="123"/>
      <c r="M102" s="124"/>
      <c r="N102" s="124"/>
      <c r="O102" s="128"/>
      <c r="P102" s="128"/>
      <c r="Q102" s="128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  <c r="AD102" s="125"/>
      <c r="AE102" s="125"/>
      <c r="AF102" s="125"/>
      <c r="AG102" s="126"/>
      <c r="AH102" s="126"/>
      <c r="AI102" s="126"/>
      <c r="AJ102" s="126"/>
      <c r="AK102" s="126"/>
      <c r="AL102" s="126"/>
      <c r="AM102" s="126"/>
      <c r="AN102" s="126"/>
      <c r="AO102" s="126"/>
      <c r="AP102" s="126"/>
      <c r="AQ102" s="126"/>
      <c r="AR102" s="126"/>
      <c r="AS102" s="126"/>
      <c r="AT102" s="126"/>
      <c r="AU102" s="126"/>
      <c r="AV102" s="126"/>
      <c r="AW102" s="126"/>
      <c r="AX102" s="126"/>
      <c r="AY102" s="126"/>
      <c r="AZ102" s="126"/>
      <c r="BA102" s="126"/>
      <c r="BB102" s="126"/>
      <c r="BC102" s="126"/>
      <c r="BD102" s="126"/>
      <c r="BE102" s="126"/>
      <c r="BF102" s="126"/>
      <c r="BG102" s="126"/>
      <c r="BH102" s="126"/>
      <c r="BI102" s="127"/>
      <c r="BJ102" s="119"/>
    </row>
    <row r="103" spans="1:63" ht="21.75" customHeight="1" x14ac:dyDescent="0.25">
      <c r="A103" s="193" t="str">
        <f>Empreendimentos!B62</f>
        <v>QAT03</v>
      </c>
      <c r="B103" s="154" t="s">
        <v>233</v>
      </c>
      <c r="C103" s="197"/>
      <c r="D103" s="188">
        <f>Empreendimentos!L62</f>
        <v>4</v>
      </c>
      <c r="E103" s="189">
        <f>Empreendimentos!D62</f>
        <v>15349.12</v>
      </c>
      <c r="F103" s="190">
        <f>Empreendimentos!H62</f>
        <v>55256.832000000002</v>
      </c>
      <c r="G103" s="190">
        <f>Empreendimentos!I62</f>
        <v>221027.32800000001</v>
      </c>
      <c r="H103" s="191">
        <f>SUM(H104:H107)</f>
        <v>253421476.00000006</v>
      </c>
      <c r="I103" s="191">
        <f>SUM(I104:I107)</f>
        <v>152829858.14754102</v>
      </c>
      <c r="J103" s="205">
        <f t="shared" si="186"/>
        <v>0.148257485191578</v>
      </c>
      <c r="K103" s="205">
        <f t="shared" si="187"/>
        <v>0.14055205883726238</v>
      </c>
      <c r="L103" s="114"/>
      <c r="M103" s="115"/>
      <c r="N103" s="115"/>
      <c r="O103" s="115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7"/>
      <c r="AH103" s="117"/>
      <c r="AI103" s="117"/>
      <c r="AJ103" s="117"/>
      <c r="AK103" s="117"/>
      <c r="AL103" s="117"/>
      <c r="AM103" s="117"/>
      <c r="AN103" s="117"/>
      <c r="AO103" s="117"/>
      <c r="AP103" s="117"/>
      <c r="AQ103" s="117"/>
      <c r="AR103" s="117"/>
      <c r="AS103" s="117"/>
      <c r="AT103" s="117"/>
      <c r="AU103" s="117"/>
      <c r="AV103" s="117"/>
      <c r="AW103" s="117"/>
      <c r="AX103" s="117"/>
      <c r="AY103" s="117"/>
      <c r="AZ103" s="117"/>
      <c r="BA103" s="117"/>
      <c r="BB103" s="117"/>
      <c r="BC103" s="117"/>
      <c r="BD103" s="117"/>
      <c r="BE103" s="117"/>
      <c r="BF103" s="117"/>
      <c r="BG103" s="117"/>
      <c r="BH103" s="117"/>
      <c r="BI103" s="118"/>
      <c r="BJ103" s="119"/>
      <c r="BK103" s="11"/>
    </row>
    <row r="104" spans="1:63" ht="21.75" customHeight="1" outlineLevel="1" x14ac:dyDescent="0.25">
      <c r="A104" s="120">
        <f>Empreendimentos!B86</f>
        <v>0</v>
      </c>
      <c r="B104" s="210" t="str">
        <f>Empreendimentos!C63</f>
        <v>Escola Infantil</v>
      </c>
      <c r="C104" s="174" t="str">
        <f>$C$348</f>
        <v>Escola</v>
      </c>
      <c r="D104" s="148">
        <f>Empreendimentos!L63</f>
        <v>1</v>
      </c>
      <c r="E104" s="173">
        <f>Empreendimentos!D63</f>
        <v>3514.04</v>
      </c>
      <c r="F104" s="149"/>
      <c r="G104" s="149">
        <f>Empreendimentos!I63</f>
        <v>1909.47</v>
      </c>
      <c r="H104" s="179">
        <f>F104*VLOOKUP(C104,$C$337:$E$351,2,FALSE)</f>
        <v>0</v>
      </c>
      <c r="I104" s="180">
        <f>G104*VLOOKUP(C104,$C$337:$E$351,3,FALSE)</f>
        <v>6587671.5</v>
      </c>
      <c r="J104" s="204">
        <f t="shared" si="186"/>
        <v>0</v>
      </c>
      <c r="K104" s="204">
        <f t="shared" si="187"/>
        <v>6.0584417435936367E-3</v>
      </c>
      <c r="L104" s="123"/>
      <c r="M104" s="124">
        <f>'Cronogramaa Fisico'!E19</f>
        <v>0</v>
      </c>
      <c r="N104" s="124">
        <f>'Cronogramaa Fisico'!F19</f>
        <v>0.2</v>
      </c>
      <c r="O104" s="124">
        <f>'Cronogramaa Fisico'!G19</f>
        <v>0.3</v>
      </c>
      <c r="P104" s="124">
        <f>'Cronogramaa Fisico'!H19</f>
        <v>0</v>
      </c>
      <c r="Q104" s="124">
        <f>'Cronogramaa Fisico'!I19</f>
        <v>0</v>
      </c>
      <c r="R104" s="124">
        <f>'Cronogramaa Fisico'!J19</f>
        <v>0</v>
      </c>
      <c r="S104" s="124">
        <f>'Cronogramaa Fisico'!K19</f>
        <v>0</v>
      </c>
      <c r="T104" s="124">
        <f>'Cronogramaa Fisico'!L19</f>
        <v>0.1</v>
      </c>
      <c r="U104" s="124">
        <f>'Cronogramaa Fisico'!M19</f>
        <v>0.4</v>
      </c>
      <c r="V104" s="124">
        <f>'Cronogramaa Fisico'!N19</f>
        <v>0</v>
      </c>
      <c r="W104" s="124">
        <f>'Cronogramaa Fisico'!O19</f>
        <v>0</v>
      </c>
      <c r="X104" s="124">
        <f>'Cronogramaa Fisico'!P19</f>
        <v>0</v>
      </c>
      <c r="Y104" s="124">
        <f>'Cronogramaa Fisico'!Q19</f>
        <v>0</v>
      </c>
      <c r="Z104" s="124">
        <f>'Cronogramaa Fisico'!R19</f>
        <v>0</v>
      </c>
      <c r="AA104" s="124">
        <f>'Cronogramaa Fisico'!S19</f>
        <v>0</v>
      </c>
      <c r="AB104" s="124">
        <f>'Cronogramaa Fisico'!T19</f>
        <v>0</v>
      </c>
      <c r="AC104" s="124">
        <f>'Cronogramaa Fisico'!U19</f>
        <v>0</v>
      </c>
      <c r="AD104" s="124">
        <f>'Cronogramaa Fisico'!V19</f>
        <v>0</v>
      </c>
      <c r="AE104" s="124">
        <f>'Cronogramaa Fisico'!W19</f>
        <v>0</v>
      </c>
      <c r="AF104" s="125"/>
      <c r="AG104" s="126"/>
      <c r="AH104" s="126"/>
      <c r="AI104" s="126"/>
      <c r="AJ104" s="126"/>
      <c r="AK104" s="126"/>
      <c r="AL104" s="126"/>
      <c r="AM104" s="126"/>
      <c r="AN104" s="126"/>
      <c r="AO104" s="126"/>
      <c r="AP104" s="126"/>
      <c r="AQ104" s="126"/>
      <c r="AR104" s="126"/>
      <c r="AS104" s="126"/>
      <c r="AT104" s="126"/>
      <c r="AU104" s="126"/>
      <c r="AV104" s="126"/>
      <c r="AW104" s="126"/>
      <c r="AX104" s="126"/>
      <c r="AY104" s="126"/>
      <c r="AZ104" s="126"/>
      <c r="BA104" s="126"/>
      <c r="BB104" s="126"/>
      <c r="BC104" s="126"/>
      <c r="BD104" s="126"/>
      <c r="BE104" s="126"/>
      <c r="BF104" s="126"/>
      <c r="BG104" s="126"/>
      <c r="BH104" s="126"/>
      <c r="BI104" s="127"/>
      <c r="BJ104" s="119">
        <f>SUM(L104:BI104)</f>
        <v>1</v>
      </c>
    </row>
    <row r="105" spans="1:63" ht="21.75" customHeight="1" outlineLevel="1" x14ac:dyDescent="0.25">
      <c r="A105" s="120"/>
      <c r="B105" s="210" t="str">
        <f>Empreendimentos!C64</f>
        <v>Escola Fundamental</v>
      </c>
      <c r="C105" s="174" t="str">
        <f>$C$348</f>
        <v>Escola</v>
      </c>
      <c r="D105" s="148">
        <f>Empreendimentos!L64</f>
        <v>1</v>
      </c>
      <c r="E105" s="173">
        <f>Empreendimentos!D64</f>
        <v>3607.11</v>
      </c>
      <c r="F105" s="149"/>
      <c r="G105" s="149">
        <f>Empreendimentos!I64</f>
        <v>1710.59</v>
      </c>
      <c r="H105" s="179">
        <f>F105*VLOOKUP(C105,$C$337:$E$351,2,FALSE)</f>
        <v>0</v>
      </c>
      <c r="I105" s="180">
        <f>G105*VLOOKUP(C105,$C$337:$E$351,3,FALSE)</f>
        <v>5901535.5</v>
      </c>
      <c r="J105" s="204">
        <f t="shared" si="186"/>
        <v>0</v>
      </c>
      <c r="K105" s="204">
        <f t="shared" si="187"/>
        <v>5.427427433881569E-3</v>
      </c>
      <c r="L105" s="123"/>
      <c r="M105" s="124">
        <f>'Cronogramaa Fisico'!E19</f>
        <v>0</v>
      </c>
      <c r="N105" s="124">
        <f>'Cronogramaa Fisico'!F19</f>
        <v>0.2</v>
      </c>
      <c r="O105" s="124">
        <f>'Cronogramaa Fisico'!G19</f>
        <v>0.3</v>
      </c>
      <c r="P105" s="124">
        <f>'Cronogramaa Fisico'!H19</f>
        <v>0</v>
      </c>
      <c r="Q105" s="124">
        <f>'Cronogramaa Fisico'!I19</f>
        <v>0</v>
      </c>
      <c r="R105" s="124">
        <f>'Cronogramaa Fisico'!J19</f>
        <v>0</v>
      </c>
      <c r="S105" s="124">
        <f>'Cronogramaa Fisico'!K19</f>
        <v>0</v>
      </c>
      <c r="T105" s="124">
        <f>'Cronogramaa Fisico'!L19</f>
        <v>0.1</v>
      </c>
      <c r="U105" s="124">
        <f>'Cronogramaa Fisico'!M19</f>
        <v>0.4</v>
      </c>
      <c r="V105" s="124">
        <f>'Cronogramaa Fisico'!N19</f>
        <v>0</v>
      </c>
      <c r="W105" s="124">
        <f>'Cronogramaa Fisico'!O19</f>
        <v>0</v>
      </c>
      <c r="X105" s="124">
        <f>'Cronogramaa Fisico'!P19</f>
        <v>0</v>
      </c>
      <c r="Y105" s="124">
        <f>'Cronogramaa Fisico'!Q19</f>
        <v>0</v>
      </c>
      <c r="Z105" s="124">
        <f>'Cronogramaa Fisico'!R19</f>
        <v>0</v>
      </c>
      <c r="AA105" s="124">
        <f>'Cronogramaa Fisico'!S19</f>
        <v>0</v>
      </c>
      <c r="AB105" s="124">
        <f>'Cronogramaa Fisico'!T19</f>
        <v>0</v>
      </c>
      <c r="AC105" s="124">
        <f>'Cronogramaa Fisico'!U19</f>
        <v>0</v>
      </c>
      <c r="AD105" s="124">
        <f>'Cronogramaa Fisico'!V19</f>
        <v>0</v>
      </c>
      <c r="AE105" s="124">
        <f>'Cronogramaa Fisico'!W19</f>
        <v>0</v>
      </c>
      <c r="AF105" s="125"/>
      <c r="AG105" s="126"/>
      <c r="AH105" s="126"/>
      <c r="AI105" s="126"/>
      <c r="AJ105" s="126"/>
      <c r="AK105" s="126"/>
      <c r="AL105" s="126"/>
      <c r="AM105" s="126"/>
      <c r="AN105" s="126"/>
      <c r="AO105" s="126"/>
      <c r="AP105" s="126"/>
      <c r="AQ105" s="126"/>
      <c r="AR105" s="126"/>
      <c r="AS105" s="126"/>
      <c r="AT105" s="126"/>
      <c r="AU105" s="126"/>
      <c r="AV105" s="126"/>
      <c r="AW105" s="126"/>
      <c r="AX105" s="126"/>
      <c r="AY105" s="126"/>
      <c r="AZ105" s="126"/>
      <c r="BA105" s="126"/>
      <c r="BB105" s="126"/>
      <c r="BC105" s="126"/>
      <c r="BD105" s="126"/>
      <c r="BE105" s="126"/>
      <c r="BF105" s="126"/>
      <c r="BG105" s="126"/>
      <c r="BH105" s="126"/>
      <c r="BI105" s="127"/>
      <c r="BJ105" s="119">
        <f>SUM(L105:BI105)</f>
        <v>1</v>
      </c>
    </row>
    <row r="106" spans="1:63" ht="21.75" customHeight="1" outlineLevel="1" x14ac:dyDescent="0.25">
      <c r="A106" s="120"/>
      <c r="B106" s="210" t="str">
        <f>Empreendimentos!C65</f>
        <v>Corporativo</v>
      </c>
      <c r="C106" s="174" t="str">
        <f>$C$342</f>
        <v>Coorporativo</v>
      </c>
      <c r="D106" s="148">
        <f>Empreendimentos!L65</f>
        <v>2</v>
      </c>
      <c r="E106" s="173">
        <f>Empreendimentos!D65</f>
        <v>8227.9700000000012</v>
      </c>
      <c r="F106" s="149">
        <f>Empreendimentos!H65</f>
        <v>18101.534000000003</v>
      </c>
      <c r="G106" s="149">
        <f>Empreendimentos!I65</f>
        <v>29674.645901639349</v>
      </c>
      <c r="H106" s="179">
        <f>F106*VLOOKUP(C106,$C$337:$E$351,2,FALSE)</f>
        <v>253421476.00000006</v>
      </c>
      <c r="I106" s="180">
        <f>G106*VLOOKUP(C106,$C$337:$E$351,3,FALSE)</f>
        <v>136503371.14754102</v>
      </c>
      <c r="J106" s="204">
        <f t="shared" si="186"/>
        <v>0.148257485191578</v>
      </c>
      <c r="K106" s="204">
        <f t="shared" si="187"/>
        <v>0.12553718288799279</v>
      </c>
      <c r="L106" s="123"/>
      <c r="M106" s="124">
        <f>M96</f>
        <v>0</v>
      </c>
      <c r="N106" s="124">
        <f t="shared" ref="N106:AG106" si="189">N96</f>
        <v>0.02</v>
      </c>
      <c r="O106" s="124">
        <f t="shared" si="189"/>
        <v>0.03</v>
      </c>
      <c r="P106" s="124">
        <f t="shared" si="189"/>
        <v>0.04</v>
      </c>
      <c r="Q106" s="124">
        <f t="shared" si="189"/>
        <v>0.06</v>
      </c>
      <c r="R106" s="124">
        <f t="shared" si="189"/>
        <v>7.0000000000000007E-2</v>
      </c>
      <c r="S106" s="124">
        <f t="shared" si="189"/>
        <v>0.08</v>
      </c>
      <c r="T106" s="124">
        <f t="shared" si="189"/>
        <v>0.1</v>
      </c>
      <c r="U106" s="124">
        <f t="shared" si="189"/>
        <v>0.1</v>
      </c>
      <c r="V106" s="124">
        <f t="shared" si="189"/>
        <v>0.11</v>
      </c>
      <c r="W106" s="124">
        <f t="shared" si="189"/>
        <v>0.1</v>
      </c>
      <c r="X106" s="124">
        <f t="shared" si="189"/>
        <v>0.1</v>
      </c>
      <c r="Y106" s="124">
        <f t="shared" si="189"/>
        <v>0.08</v>
      </c>
      <c r="Z106" s="124">
        <f t="shared" si="189"/>
        <v>0.06</v>
      </c>
      <c r="AA106" s="124">
        <f t="shared" si="189"/>
        <v>0.04</v>
      </c>
      <c r="AB106" s="124">
        <f t="shared" si="189"/>
        <v>0.01</v>
      </c>
      <c r="AC106" s="124">
        <f t="shared" si="189"/>
        <v>0</v>
      </c>
      <c r="AD106" s="124">
        <f t="shared" si="189"/>
        <v>0</v>
      </c>
      <c r="AE106" s="124">
        <f t="shared" si="189"/>
        <v>0</v>
      </c>
      <c r="AF106" s="124">
        <f t="shared" si="189"/>
        <v>0</v>
      </c>
      <c r="AG106" s="124">
        <f t="shared" si="189"/>
        <v>0</v>
      </c>
      <c r="AH106" s="126"/>
      <c r="AI106" s="126"/>
      <c r="AJ106" s="126"/>
      <c r="AK106" s="126"/>
      <c r="AL106" s="126"/>
      <c r="AM106" s="126"/>
      <c r="AN106" s="126"/>
      <c r="AO106" s="126"/>
      <c r="AP106" s="126"/>
      <c r="AQ106" s="126"/>
      <c r="AR106" s="126"/>
      <c r="AS106" s="126"/>
      <c r="AT106" s="126"/>
      <c r="AU106" s="126"/>
      <c r="AV106" s="126"/>
      <c r="AW106" s="126"/>
      <c r="AX106" s="126"/>
      <c r="AY106" s="126"/>
      <c r="AZ106" s="126"/>
      <c r="BA106" s="126"/>
      <c r="BB106" s="126"/>
      <c r="BC106" s="126"/>
      <c r="BD106" s="126"/>
      <c r="BE106" s="126"/>
      <c r="BF106" s="126"/>
      <c r="BG106" s="126"/>
      <c r="BH106" s="126"/>
      <c r="BI106" s="127"/>
      <c r="BJ106" s="119">
        <f>SUM(L106:BI106)</f>
        <v>1</v>
      </c>
    </row>
    <row r="107" spans="1:63" ht="21.75" customHeight="1" outlineLevel="1" x14ac:dyDescent="0.25">
      <c r="A107" s="209"/>
      <c r="B107" s="219" t="s">
        <v>232</v>
      </c>
      <c r="C107" s="220" t="str">
        <f>$C$343</f>
        <v>Lote aberto</v>
      </c>
      <c r="D107" s="148"/>
      <c r="E107" s="173"/>
      <c r="F107" s="149"/>
      <c r="G107" s="149">
        <f>Empreendimentos!D62</f>
        <v>15349.12</v>
      </c>
      <c r="H107" s="179"/>
      <c r="I107" s="180">
        <f>G107*VLOOKUP(C107,$C$337:$E$351,3,FALSE)</f>
        <v>3837280</v>
      </c>
      <c r="J107" s="204">
        <f t="shared" si="186"/>
        <v>0</v>
      </c>
      <c r="K107" s="204">
        <f t="shared" si="187"/>
        <v>3.5290067717944026E-3</v>
      </c>
      <c r="L107" s="123">
        <f>L97</f>
        <v>0</v>
      </c>
      <c r="M107" s="124">
        <f t="shared" ref="M107:U107" si="190">M97</f>
        <v>0.4</v>
      </c>
      <c r="N107" s="124">
        <f t="shared" si="190"/>
        <v>0.6</v>
      </c>
      <c r="O107" s="124">
        <f t="shared" si="190"/>
        <v>0</v>
      </c>
      <c r="P107" s="124">
        <f t="shared" si="190"/>
        <v>0</v>
      </c>
      <c r="Q107" s="124">
        <f t="shared" si="190"/>
        <v>0</v>
      </c>
      <c r="R107" s="124">
        <f t="shared" si="190"/>
        <v>0</v>
      </c>
      <c r="S107" s="124">
        <f t="shared" si="190"/>
        <v>0</v>
      </c>
      <c r="T107" s="124">
        <f t="shared" si="190"/>
        <v>0</v>
      </c>
      <c r="U107" s="124">
        <f t="shared" si="190"/>
        <v>0</v>
      </c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  <c r="AF107" s="124"/>
      <c r="AG107" s="124"/>
      <c r="AH107" s="124"/>
      <c r="AI107" s="124"/>
      <c r="AJ107" s="225"/>
      <c r="AK107" s="225"/>
      <c r="AL107" s="225"/>
      <c r="AM107" s="225"/>
      <c r="AN107" s="225"/>
      <c r="AO107" s="225"/>
      <c r="AP107" s="225"/>
      <c r="AQ107" s="225"/>
      <c r="AR107" s="225"/>
      <c r="AS107" s="225"/>
      <c r="AT107" s="225"/>
      <c r="AU107" s="225"/>
      <c r="AV107" s="225"/>
      <c r="AW107" s="225"/>
      <c r="AX107" s="225"/>
      <c r="AY107" s="225"/>
      <c r="AZ107" s="225"/>
      <c r="BA107" s="225"/>
      <c r="BB107" s="225"/>
      <c r="BC107" s="225"/>
      <c r="BD107" s="225"/>
      <c r="BE107" s="225"/>
      <c r="BF107" s="225"/>
      <c r="BG107" s="225"/>
      <c r="BH107" s="225"/>
      <c r="BI107" s="127"/>
      <c r="BJ107" s="119">
        <f>SUM(L107:BI107)</f>
        <v>1</v>
      </c>
    </row>
    <row r="108" spans="1:63" ht="9.6" customHeight="1" x14ac:dyDescent="0.25">
      <c r="A108" s="120"/>
      <c r="B108" s="219"/>
      <c r="C108" s="174"/>
      <c r="D108" s="148"/>
      <c r="E108" s="173"/>
      <c r="F108" s="149"/>
      <c r="G108" s="149"/>
      <c r="H108" s="179"/>
      <c r="I108" s="180"/>
      <c r="J108" s="204">
        <f t="shared" si="186"/>
        <v>0</v>
      </c>
      <c r="K108" s="204">
        <f t="shared" si="187"/>
        <v>0</v>
      </c>
      <c r="L108" s="123"/>
      <c r="M108" s="124"/>
      <c r="N108" s="124"/>
      <c r="O108" s="128"/>
      <c r="P108" s="128"/>
      <c r="Q108" s="128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  <c r="AD108" s="125"/>
      <c r="AE108" s="125"/>
      <c r="AF108" s="125"/>
      <c r="AG108" s="126"/>
      <c r="AH108" s="126"/>
      <c r="AI108" s="126"/>
      <c r="AJ108" s="126"/>
      <c r="AK108" s="126"/>
      <c r="AL108" s="126"/>
      <c r="AM108" s="126"/>
      <c r="AN108" s="126"/>
      <c r="AO108" s="126"/>
      <c r="AP108" s="126"/>
      <c r="AQ108" s="126"/>
      <c r="AR108" s="126"/>
      <c r="AS108" s="126"/>
      <c r="AT108" s="126"/>
      <c r="AU108" s="126"/>
      <c r="AV108" s="126"/>
      <c r="AW108" s="126"/>
      <c r="AX108" s="126"/>
      <c r="AY108" s="126"/>
      <c r="AZ108" s="126"/>
      <c r="BA108" s="126"/>
      <c r="BB108" s="126"/>
      <c r="BC108" s="126"/>
      <c r="BD108" s="126"/>
      <c r="BE108" s="126"/>
      <c r="BF108" s="126"/>
      <c r="BG108" s="126"/>
      <c r="BH108" s="126"/>
      <c r="BI108" s="127"/>
      <c r="BJ108" s="119"/>
    </row>
    <row r="109" spans="1:63" ht="21.75" customHeight="1" x14ac:dyDescent="0.25">
      <c r="A109" s="193" t="str">
        <f>Empreendimentos!B67</f>
        <v>QAT04</v>
      </c>
      <c r="B109" s="218" t="str">
        <f>Empreendimentos!C67</f>
        <v>Residencial</v>
      </c>
      <c r="C109" s="197"/>
      <c r="D109" s="188">
        <f>SUM(D110:D111)</f>
        <v>4</v>
      </c>
      <c r="E109" s="189">
        <f>Empreendimentos!M67</f>
        <v>223.95693750000001</v>
      </c>
      <c r="F109" s="190">
        <f>Empreendimentos!H67</f>
        <v>42999.732000000004</v>
      </c>
      <c r="G109" s="190">
        <f>Empreendimentos!I67</f>
        <v>70491.363934426234</v>
      </c>
      <c r="H109" s="191">
        <f>SUM(H110:H111)</f>
        <v>429997320.00000006</v>
      </c>
      <c r="I109" s="191">
        <f>SUM(I110:I111)</f>
        <v>293539782.67381561</v>
      </c>
      <c r="J109" s="205">
        <f t="shared" si="186"/>
        <v>0.25155848000158526</v>
      </c>
      <c r="K109" s="205">
        <f t="shared" si="187"/>
        <v>0.26995785578507497</v>
      </c>
      <c r="L109" s="114"/>
      <c r="M109" s="115"/>
      <c r="N109" s="115"/>
      <c r="O109" s="115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  <c r="AE109" s="116"/>
      <c r="AF109" s="116"/>
      <c r="AG109" s="117"/>
      <c r="AH109" s="117"/>
      <c r="AI109" s="117"/>
      <c r="AJ109" s="117"/>
      <c r="AK109" s="117"/>
      <c r="AL109" s="117"/>
      <c r="AM109" s="117"/>
      <c r="AN109" s="117"/>
      <c r="AO109" s="117"/>
      <c r="AP109" s="117"/>
      <c r="AQ109" s="117"/>
      <c r="AR109" s="117"/>
      <c r="AS109" s="117"/>
      <c r="AT109" s="117"/>
      <c r="AU109" s="117"/>
      <c r="AV109" s="117"/>
      <c r="AW109" s="117"/>
      <c r="AX109" s="117"/>
      <c r="AY109" s="117"/>
      <c r="AZ109" s="117"/>
      <c r="BA109" s="117"/>
      <c r="BB109" s="117"/>
      <c r="BC109" s="117"/>
      <c r="BD109" s="117"/>
      <c r="BE109" s="117"/>
      <c r="BF109" s="117"/>
      <c r="BG109" s="117"/>
      <c r="BH109" s="117"/>
      <c r="BI109" s="118"/>
      <c r="BJ109" s="119"/>
      <c r="BK109" s="11"/>
    </row>
    <row r="110" spans="1:63" ht="21.75" customHeight="1" outlineLevel="1" x14ac:dyDescent="0.25">
      <c r="A110" s="209"/>
      <c r="B110" s="210" t="str">
        <f>Empreendimentos!C67</f>
        <v>Residencial</v>
      </c>
      <c r="C110" s="220" t="str">
        <f>$C$341</f>
        <v>Super Luxo</v>
      </c>
      <c r="D110" s="148">
        <f>Empreendimentos!L67</f>
        <v>4</v>
      </c>
      <c r="E110" s="173">
        <f>Empreendimentos!M67</f>
        <v>223.95693750000001</v>
      </c>
      <c r="F110" s="149">
        <f>Empreendimentos!H67</f>
        <v>42999.732000000004</v>
      </c>
      <c r="G110" s="149">
        <f>Empreendimentos!I67</f>
        <v>70491.363934426234</v>
      </c>
      <c r="H110" s="179">
        <f>F110*VLOOKUP(C110,$C$337:$E$351,2,FALSE)</f>
        <v>429997320.00000006</v>
      </c>
      <c r="I110" s="180">
        <f>G110*VLOOKUP(C110,$C$337:$E$351,3,FALSE)</f>
        <v>290553690.17381561</v>
      </c>
      <c r="J110" s="204">
        <f t="shared" si="186"/>
        <v>0.25155848000158526</v>
      </c>
      <c r="K110" s="204">
        <f t="shared" si="187"/>
        <v>0.26721165518107826</v>
      </c>
      <c r="L110" s="123"/>
      <c r="M110" s="124">
        <f>M96</f>
        <v>0</v>
      </c>
      <c r="N110" s="124">
        <f t="shared" ref="N110:AH110" si="191">N96</f>
        <v>0.02</v>
      </c>
      <c r="O110" s="124">
        <f t="shared" si="191"/>
        <v>0.03</v>
      </c>
      <c r="P110" s="124">
        <f t="shared" si="191"/>
        <v>0.04</v>
      </c>
      <c r="Q110" s="124">
        <f t="shared" si="191"/>
        <v>0.06</v>
      </c>
      <c r="R110" s="124">
        <f t="shared" si="191"/>
        <v>7.0000000000000007E-2</v>
      </c>
      <c r="S110" s="124">
        <f t="shared" si="191"/>
        <v>0.08</v>
      </c>
      <c r="T110" s="124">
        <f t="shared" si="191"/>
        <v>0.1</v>
      </c>
      <c r="U110" s="124">
        <f t="shared" si="191"/>
        <v>0.1</v>
      </c>
      <c r="V110" s="124">
        <f t="shared" si="191"/>
        <v>0.11</v>
      </c>
      <c r="W110" s="124">
        <f t="shared" si="191"/>
        <v>0.1</v>
      </c>
      <c r="X110" s="124">
        <f t="shared" si="191"/>
        <v>0.1</v>
      </c>
      <c r="Y110" s="124">
        <f t="shared" si="191"/>
        <v>0.08</v>
      </c>
      <c r="Z110" s="124">
        <f t="shared" si="191"/>
        <v>0.06</v>
      </c>
      <c r="AA110" s="124">
        <f t="shared" si="191"/>
        <v>0.04</v>
      </c>
      <c r="AB110" s="124">
        <f t="shared" si="191"/>
        <v>0.01</v>
      </c>
      <c r="AC110" s="124">
        <f t="shared" si="191"/>
        <v>0</v>
      </c>
      <c r="AD110" s="124">
        <f t="shared" si="191"/>
        <v>0</v>
      </c>
      <c r="AE110" s="124">
        <f t="shared" si="191"/>
        <v>0</v>
      </c>
      <c r="AF110" s="124">
        <f t="shared" si="191"/>
        <v>0</v>
      </c>
      <c r="AG110" s="124">
        <f t="shared" si="191"/>
        <v>0</v>
      </c>
      <c r="AH110" s="124">
        <f t="shared" si="191"/>
        <v>0</v>
      </c>
      <c r="AI110" s="126"/>
      <c r="AJ110" s="126"/>
      <c r="AK110" s="126"/>
      <c r="AL110" s="126"/>
      <c r="AM110" s="126"/>
      <c r="AN110" s="126"/>
      <c r="AO110" s="126"/>
      <c r="AP110" s="126"/>
      <c r="AQ110" s="126"/>
      <c r="AR110" s="126"/>
      <c r="AS110" s="126"/>
      <c r="AT110" s="126"/>
      <c r="AU110" s="126"/>
      <c r="AV110" s="126"/>
      <c r="AW110" s="126"/>
      <c r="AX110" s="126"/>
      <c r="AY110" s="126"/>
      <c r="AZ110" s="126"/>
      <c r="BA110" s="126"/>
      <c r="BB110" s="126"/>
      <c r="BC110" s="126"/>
      <c r="BD110" s="126"/>
      <c r="BE110" s="126"/>
      <c r="BF110" s="126"/>
      <c r="BG110" s="126"/>
      <c r="BH110" s="126"/>
      <c r="BI110" s="127"/>
      <c r="BJ110" s="119">
        <f>SUM(L110:BI110)</f>
        <v>1</v>
      </c>
    </row>
    <row r="111" spans="1:63" ht="21.75" customHeight="1" outlineLevel="1" x14ac:dyDescent="0.25">
      <c r="A111" s="209"/>
      <c r="B111" s="219" t="s">
        <v>232</v>
      </c>
      <c r="C111" s="220" t="str">
        <f>$C$343</f>
        <v>Lote aberto</v>
      </c>
      <c r="D111" s="148"/>
      <c r="E111" s="173"/>
      <c r="F111" s="149"/>
      <c r="G111" s="149">
        <f>Empreendimentos!D67</f>
        <v>11944.37</v>
      </c>
      <c r="H111" s="179"/>
      <c r="I111" s="180">
        <f>G111*VLOOKUP(C111,$C$337:$E$351,3,FALSE)</f>
        <v>2986092.5</v>
      </c>
      <c r="J111" s="204">
        <f t="shared" si="186"/>
        <v>0</v>
      </c>
      <c r="K111" s="204">
        <f t="shared" si="187"/>
        <v>2.7462006039967054E-3</v>
      </c>
      <c r="L111" s="123">
        <f>L97</f>
        <v>0</v>
      </c>
      <c r="M111" s="124">
        <f>M97</f>
        <v>0.4</v>
      </c>
      <c r="N111" s="124">
        <f t="shared" ref="N111:T111" si="192">N97</f>
        <v>0.6</v>
      </c>
      <c r="O111" s="124">
        <f t="shared" si="192"/>
        <v>0</v>
      </c>
      <c r="P111" s="124">
        <f t="shared" si="192"/>
        <v>0</v>
      </c>
      <c r="Q111" s="124">
        <f t="shared" si="192"/>
        <v>0</v>
      </c>
      <c r="R111" s="124">
        <f t="shared" si="192"/>
        <v>0</v>
      </c>
      <c r="S111" s="124">
        <f t="shared" si="192"/>
        <v>0</v>
      </c>
      <c r="T111" s="124">
        <f t="shared" si="192"/>
        <v>0</v>
      </c>
      <c r="U111" s="125"/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  <c r="AF111" s="125"/>
      <c r="AG111" s="126"/>
      <c r="AH111" s="126"/>
      <c r="AI111" s="126"/>
      <c r="AJ111" s="126"/>
      <c r="AK111" s="126"/>
      <c r="AL111" s="126"/>
      <c r="AM111" s="126"/>
      <c r="AN111" s="126"/>
      <c r="AO111" s="126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7"/>
      <c r="BJ111" s="119">
        <f>SUM(L111:BI111)</f>
        <v>1</v>
      </c>
    </row>
    <row r="112" spans="1:63" ht="9.6" customHeight="1" x14ac:dyDescent="0.25">
      <c r="A112" s="120"/>
      <c r="B112" s="219"/>
      <c r="C112" s="174"/>
      <c r="D112" s="148"/>
      <c r="E112" s="173"/>
      <c r="F112" s="149"/>
      <c r="G112" s="149"/>
      <c r="H112" s="179"/>
      <c r="I112" s="180"/>
      <c r="J112" s="204">
        <f t="shared" si="186"/>
        <v>0</v>
      </c>
      <c r="K112" s="204">
        <f t="shared" si="187"/>
        <v>0</v>
      </c>
      <c r="L112" s="123"/>
      <c r="M112" s="124"/>
      <c r="N112" s="124"/>
      <c r="O112" s="128"/>
      <c r="P112" s="128"/>
      <c r="Q112" s="128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  <c r="AD112" s="125"/>
      <c r="AE112" s="125"/>
      <c r="AF112" s="125"/>
      <c r="AG112" s="126"/>
      <c r="AH112" s="126"/>
      <c r="AI112" s="126"/>
      <c r="AJ112" s="126"/>
      <c r="AK112" s="126"/>
      <c r="AL112" s="126"/>
      <c r="AM112" s="126"/>
      <c r="AN112" s="126"/>
      <c r="AO112" s="126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7"/>
      <c r="BJ112" s="119"/>
    </row>
    <row r="113" spans="1:63" ht="21.75" customHeight="1" x14ac:dyDescent="0.25">
      <c r="A113" s="193" t="str">
        <f>Empreendimentos!B69</f>
        <v>QAT05</v>
      </c>
      <c r="B113" s="218" t="str">
        <f>Empreendimentos!C69</f>
        <v>Residencial</v>
      </c>
      <c r="C113" s="197"/>
      <c r="D113" s="188">
        <f>Empreendimentos!L69</f>
        <v>5</v>
      </c>
      <c r="E113" s="189">
        <f>Empreendimentos!M69</f>
        <v>164.81909199999998</v>
      </c>
      <c r="F113" s="190">
        <f>Empreendimentos!H69</f>
        <v>59334.873119999997</v>
      </c>
      <c r="G113" s="190">
        <f>Empreendimentos!I69</f>
        <v>97270.283803278682</v>
      </c>
      <c r="H113" s="191">
        <f>SUM(H114:H115)</f>
        <v>563681294.63999999</v>
      </c>
      <c r="I113" s="191">
        <f>SUM(I114:I115)</f>
        <v>385960428.36917764</v>
      </c>
      <c r="J113" s="205">
        <f t="shared" si="186"/>
        <v>0.32976672897627385</v>
      </c>
      <c r="K113" s="205">
        <f t="shared" si="187"/>
        <v>0.35495376030925457</v>
      </c>
      <c r="L113" s="114"/>
      <c r="M113" s="115"/>
      <c r="N113" s="115"/>
      <c r="O113" s="115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116"/>
      <c r="AE113" s="116"/>
      <c r="AF113" s="116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17"/>
      <c r="AS113" s="117"/>
      <c r="AT113" s="117"/>
      <c r="AU113" s="117"/>
      <c r="AV113" s="117"/>
      <c r="AW113" s="117"/>
      <c r="AX113" s="117"/>
      <c r="AY113" s="117"/>
      <c r="AZ113" s="117"/>
      <c r="BA113" s="117"/>
      <c r="BB113" s="117"/>
      <c r="BC113" s="117"/>
      <c r="BD113" s="117"/>
      <c r="BE113" s="117"/>
      <c r="BF113" s="117"/>
      <c r="BG113" s="117"/>
      <c r="BH113" s="117"/>
      <c r="BI113" s="118"/>
      <c r="BJ113" s="119"/>
      <c r="BK113" s="11"/>
    </row>
    <row r="114" spans="1:63" ht="21.75" customHeight="1" outlineLevel="1" x14ac:dyDescent="0.25">
      <c r="A114" s="209"/>
      <c r="B114" s="210" t="str">
        <f>Empreendimentos!C69</f>
        <v>Residencial</v>
      </c>
      <c r="C114" s="220" t="str">
        <f>$C$340</f>
        <v>Luxo</v>
      </c>
      <c r="D114" s="148">
        <f>Empreendimentos!L69</f>
        <v>5</v>
      </c>
      <c r="E114" s="173">
        <f>Empreendimentos!M69</f>
        <v>164.81909199999998</v>
      </c>
      <c r="F114" s="149">
        <f>Empreendimentos!H69</f>
        <v>59334.873119999997</v>
      </c>
      <c r="G114" s="149">
        <f>Empreendimentos!I69</f>
        <v>97270.283803278682</v>
      </c>
      <c r="H114" s="179">
        <f>F114*VLOOKUP(C114,$C$337:$E$351,2,FALSE)</f>
        <v>563681294.63999999</v>
      </c>
      <c r="I114" s="180">
        <f>G114*VLOOKUP(C114,$C$337:$E$351,3,FALSE)</f>
        <v>381839951.06917763</v>
      </c>
      <c r="J114" s="204">
        <f t="shared" si="186"/>
        <v>0.32976672897627385</v>
      </c>
      <c r="K114" s="204">
        <f t="shared" si="187"/>
        <v>0.35116430728661219</v>
      </c>
      <c r="L114" s="123"/>
      <c r="M114" s="124">
        <f>M96</f>
        <v>0</v>
      </c>
      <c r="N114" s="124">
        <f t="shared" ref="N114:AH114" si="193">N96</f>
        <v>0.02</v>
      </c>
      <c r="O114" s="124">
        <f t="shared" si="193"/>
        <v>0.03</v>
      </c>
      <c r="P114" s="124">
        <f t="shared" si="193"/>
        <v>0.04</v>
      </c>
      <c r="Q114" s="124">
        <f t="shared" si="193"/>
        <v>0.06</v>
      </c>
      <c r="R114" s="124">
        <f t="shared" si="193"/>
        <v>7.0000000000000007E-2</v>
      </c>
      <c r="S114" s="124">
        <f t="shared" si="193"/>
        <v>0.08</v>
      </c>
      <c r="T114" s="124">
        <f t="shared" si="193"/>
        <v>0.1</v>
      </c>
      <c r="U114" s="124">
        <f t="shared" si="193"/>
        <v>0.1</v>
      </c>
      <c r="V114" s="124">
        <f t="shared" si="193"/>
        <v>0.11</v>
      </c>
      <c r="W114" s="124">
        <f t="shared" si="193"/>
        <v>0.1</v>
      </c>
      <c r="X114" s="124">
        <f t="shared" si="193"/>
        <v>0.1</v>
      </c>
      <c r="Y114" s="124">
        <f t="shared" si="193"/>
        <v>0.08</v>
      </c>
      <c r="Z114" s="124">
        <f t="shared" si="193"/>
        <v>0.06</v>
      </c>
      <c r="AA114" s="124">
        <f t="shared" si="193"/>
        <v>0.04</v>
      </c>
      <c r="AB114" s="124">
        <f t="shared" si="193"/>
        <v>0.01</v>
      </c>
      <c r="AC114" s="124">
        <f t="shared" si="193"/>
        <v>0</v>
      </c>
      <c r="AD114" s="124">
        <f t="shared" si="193"/>
        <v>0</v>
      </c>
      <c r="AE114" s="124">
        <f t="shared" si="193"/>
        <v>0</v>
      </c>
      <c r="AF114" s="124">
        <f t="shared" si="193"/>
        <v>0</v>
      </c>
      <c r="AG114" s="124">
        <f t="shared" si="193"/>
        <v>0</v>
      </c>
      <c r="AH114" s="124">
        <f t="shared" si="193"/>
        <v>0</v>
      </c>
      <c r="AI114" s="126"/>
      <c r="AJ114" s="126"/>
      <c r="AK114" s="126"/>
      <c r="AL114" s="126"/>
      <c r="AM114" s="126"/>
      <c r="AN114" s="126"/>
      <c r="AO114" s="126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7"/>
      <c r="BJ114" s="119">
        <f>SUM(L114:BI114)</f>
        <v>1</v>
      </c>
    </row>
    <row r="115" spans="1:63" ht="21.75" customHeight="1" outlineLevel="1" x14ac:dyDescent="0.25">
      <c r="A115" s="209"/>
      <c r="B115" s="219" t="s">
        <v>232</v>
      </c>
      <c r="C115" s="220" t="str">
        <f>$C$343</f>
        <v>Lote aberto</v>
      </c>
      <c r="D115" s="148"/>
      <c r="E115" s="173"/>
      <c r="F115" s="149"/>
      <c r="G115" s="149">
        <f>Empreendimentos!D69</f>
        <v>16481.909199999998</v>
      </c>
      <c r="H115" s="179"/>
      <c r="I115" s="180">
        <f>G115*VLOOKUP(C115,$C$337:$E$351,3,FALSE)</f>
        <v>4120477.2999999993</v>
      </c>
      <c r="J115" s="204">
        <f t="shared" si="186"/>
        <v>0</v>
      </c>
      <c r="K115" s="204">
        <f t="shared" si="187"/>
        <v>3.7894530226423701E-3</v>
      </c>
      <c r="L115" s="123">
        <f>L97</f>
        <v>0</v>
      </c>
      <c r="M115" s="124">
        <f>M97</f>
        <v>0.4</v>
      </c>
      <c r="N115" s="124">
        <f t="shared" ref="N115:S115" si="194">N97</f>
        <v>0.6</v>
      </c>
      <c r="O115" s="124">
        <f t="shared" si="194"/>
        <v>0</v>
      </c>
      <c r="P115" s="124">
        <f t="shared" si="194"/>
        <v>0</v>
      </c>
      <c r="Q115" s="124">
        <f t="shared" si="194"/>
        <v>0</v>
      </c>
      <c r="R115" s="124">
        <f t="shared" si="194"/>
        <v>0</v>
      </c>
      <c r="S115" s="124">
        <f t="shared" si="194"/>
        <v>0</v>
      </c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6"/>
      <c r="AH115" s="126"/>
      <c r="AI115" s="126"/>
      <c r="AJ115" s="126"/>
      <c r="AK115" s="126"/>
      <c r="AL115" s="126"/>
      <c r="AM115" s="126"/>
      <c r="AN115" s="126"/>
      <c r="AO115" s="126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7"/>
      <c r="BJ115" s="119">
        <f>SUM(L115:BI115)</f>
        <v>1</v>
      </c>
    </row>
    <row r="116" spans="1:63" s="13" customFormat="1" ht="9.6" customHeight="1" x14ac:dyDescent="0.25">
      <c r="A116" s="130"/>
      <c r="B116" s="131"/>
      <c r="C116" s="131"/>
      <c r="D116" s="131"/>
      <c r="E116" s="131"/>
      <c r="F116" s="131"/>
      <c r="G116" s="131"/>
      <c r="H116" s="131"/>
      <c r="I116" s="132"/>
      <c r="J116" s="207">
        <f>H116/$H$42</f>
        <v>0</v>
      </c>
      <c r="K116" s="207">
        <f>I116/$H$42</f>
        <v>0</v>
      </c>
      <c r="L116" s="133"/>
      <c r="M116" s="134"/>
      <c r="N116" s="134"/>
      <c r="O116" s="134"/>
      <c r="P116" s="135"/>
      <c r="Q116" s="135"/>
      <c r="R116" s="135"/>
      <c r="S116" s="135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7"/>
      <c r="BH116" s="137"/>
      <c r="BI116" s="138"/>
      <c r="BJ116" s="119">
        <f>SUM(K116:AI116)</f>
        <v>0</v>
      </c>
    </row>
    <row r="117" spans="1:63" s="13" customFormat="1" ht="7.8" customHeight="1" x14ac:dyDescent="0.25">
      <c r="A117" s="139"/>
      <c r="B117" s="140"/>
      <c r="C117" s="140"/>
      <c r="D117" s="140"/>
      <c r="E117" s="140"/>
      <c r="F117" s="140"/>
      <c r="G117" s="140"/>
      <c r="H117" s="140"/>
      <c r="I117" s="141"/>
      <c r="J117" s="140"/>
      <c r="K117" s="140"/>
      <c r="L117" s="139"/>
      <c r="M117" s="139"/>
      <c r="N117" s="139"/>
      <c r="O117" s="139"/>
      <c r="P117" s="139"/>
      <c r="Q117" s="139"/>
      <c r="R117" s="139"/>
      <c r="S117" s="139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42"/>
      <c r="AK117" s="142"/>
      <c r="AL117" s="142"/>
      <c r="AM117" s="142"/>
      <c r="AN117" s="142"/>
      <c r="AO117" s="142"/>
      <c r="AP117" s="142"/>
      <c r="AQ117" s="142"/>
      <c r="AR117" s="142"/>
      <c r="AS117" s="142"/>
      <c r="AT117" s="142"/>
      <c r="AU117" s="142"/>
      <c r="AV117" s="142"/>
      <c r="AW117" s="142"/>
      <c r="AX117" s="142"/>
      <c r="AY117" s="142"/>
      <c r="AZ117" s="142"/>
      <c r="BA117" s="142"/>
      <c r="BB117" s="142"/>
      <c r="BC117" s="142"/>
      <c r="BD117" s="142"/>
      <c r="BE117" s="142"/>
      <c r="BF117" s="142"/>
      <c r="BG117" s="142"/>
      <c r="BH117" s="142"/>
      <c r="BI117" s="142"/>
      <c r="BJ117" s="143"/>
    </row>
    <row r="118" spans="1:63" s="144" customFormat="1" ht="18" customHeight="1" x14ac:dyDescent="0.25">
      <c r="A118" s="379" t="s">
        <v>223</v>
      </c>
      <c r="B118" s="380"/>
      <c r="C118" s="385" t="s">
        <v>168</v>
      </c>
      <c r="D118" s="386"/>
      <c r="E118" s="386"/>
      <c r="F118" s="386"/>
      <c r="G118" s="387"/>
      <c r="H118" s="388">
        <f>SUM(H95,H99,H103,H109,H113)</f>
        <v>1709333432.1199999</v>
      </c>
      <c r="I118" s="388"/>
      <c r="J118" s="389">
        <f>SUM(J95,J99,J103,J109,J113)</f>
        <v>1.0000000000000002</v>
      </c>
      <c r="K118" s="389"/>
      <c r="L118" s="163">
        <f>SUMPRODUCT($H95:$H116,L95:L116)</f>
        <v>0</v>
      </c>
      <c r="M118" s="163">
        <f>SUMPRODUCT($H95:$H116,M95:M116)</f>
        <v>0</v>
      </c>
      <c r="N118" s="163">
        <f t="shared" ref="N118" si="195">SUMPRODUCT($H95:$H116,N95:N116)</f>
        <v>47038783.842400014</v>
      </c>
      <c r="O118" s="163">
        <f t="shared" ref="O118:BI118" si="196">SUMPRODUCT($H95:$H116,O95:O116)</f>
        <v>77698239.763599992</v>
      </c>
      <c r="P118" s="163">
        <f t="shared" si="196"/>
        <v>65517311.684800006</v>
      </c>
      <c r="Q118" s="163">
        <f t="shared" si="196"/>
        <v>98275967.527199998</v>
      </c>
      <c r="R118" s="163">
        <f t="shared" si="196"/>
        <v>114655295.44840002</v>
      </c>
      <c r="S118" s="163">
        <f t="shared" si="196"/>
        <v>131034623.36960001</v>
      </c>
      <c r="T118" s="163">
        <f t="shared" si="196"/>
        <v>178073407.21200001</v>
      </c>
      <c r="U118" s="163">
        <f t="shared" si="196"/>
        <v>178073407.21200001</v>
      </c>
      <c r="V118" s="163">
        <f t="shared" si="196"/>
        <v>180172607.13320002</v>
      </c>
      <c r="W118" s="163">
        <f t="shared" si="196"/>
        <v>163793279.21200001</v>
      </c>
      <c r="X118" s="163">
        <f t="shared" si="196"/>
        <v>163793279.21200001</v>
      </c>
      <c r="Y118" s="163">
        <f t="shared" si="196"/>
        <v>131034623.36960001</v>
      </c>
      <c r="Z118" s="163">
        <f t="shared" si="196"/>
        <v>98275967.527199998</v>
      </c>
      <c r="AA118" s="163">
        <f t="shared" si="196"/>
        <v>65517311.684800006</v>
      </c>
      <c r="AB118" s="163">
        <f t="shared" si="196"/>
        <v>16379327.921200002</v>
      </c>
      <c r="AC118" s="163">
        <f t="shared" si="196"/>
        <v>0</v>
      </c>
      <c r="AD118" s="163">
        <f t="shared" si="196"/>
        <v>0</v>
      </c>
      <c r="AE118" s="163">
        <f t="shared" si="196"/>
        <v>0</v>
      </c>
      <c r="AF118" s="163">
        <f t="shared" si="196"/>
        <v>0</v>
      </c>
      <c r="AG118" s="163">
        <f t="shared" si="196"/>
        <v>0</v>
      </c>
      <c r="AH118" s="163">
        <f t="shared" si="196"/>
        <v>0</v>
      </c>
      <c r="AI118" s="163">
        <f t="shared" si="196"/>
        <v>0</v>
      </c>
      <c r="AJ118" s="163">
        <f t="shared" si="196"/>
        <v>0</v>
      </c>
      <c r="AK118" s="163">
        <f t="shared" si="196"/>
        <v>0</v>
      </c>
      <c r="AL118" s="163">
        <f t="shared" si="196"/>
        <v>0</v>
      </c>
      <c r="AM118" s="163">
        <f t="shared" si="196"/>
        <v>0</v>
      </c>
      <c r="AN118" s="163">
        <f t="shared" si="196"/>
        <v>0</v>
      </c>
      <c r="AO118" s="163">
        <f t="shared" si="196"/>
        <v>0</v>
      </c>
      <c r="AP118" s="163">
        <f t="shared" si="196"/>
        <v>0</v>
      </c>
      <c r="AQ118" s="163">
        <f t="shared" si="196"/>
        <v>0</v>
      </c>
      <c r="AR118" s="163">
        <f t="shared" si="196"/>
        <v>0</v>
      </c>
      <c r="AS118" s="163">
        <f t="shared" si="196"/>
        <v>0</v>
      </c>
      <c r="AT118" s="163">
        <f t="shared" si="196"/>
        <v>0</v>
      </c>
      <c r="AU118" s="163">
        <f t="shared" si="196"/>
        <v>0</v>
      </c>
      <c r="AV118" s="163">
        <f t="shared" si="196"/>
        <v>0</v>
      </c>
      <c r="AW118" s="163">
        <f t="shared" si="196"/>
        <v>0</v>
      </c>
      <c r="AX118" s="163">
        <f t="shared" si="196"/>
        <v>0</v>
      </c>
      <c r="AY118" s="163">
        <f t="shared" si="196"/>
        <v>0</v>
      </c>
      <c r="AZ118" s="163">
        <f t="shared" si="196"/>
        <v>0</v>
      </c>
      <c r="BA118" s="163">
        <f t="shared" si="196"/>
        <v>0</v>
      </c>
      <c r="BB118" s="163">
        <f t="shared" si="196"/>
        <v>0</v>
      </c>
      <c r="BC118" s="163">
        <f t="shared" si="196"/>
        <v>0</v>
      </c>
      <c r="BD118" s="163">
        <f t="shared" si="196"/>
        <v>0</v>
      </c>
      <c r="BE118" s="163">
        <f t="shared" si="196"/>
        <v>0</v>
      </c>
      <c r="BF118" s="163">
        <f t="shared" si="196"/>
        <v>0</v>
      </c>
      <c r="BG118" s="163">
        <f t="shared" si="196"/>
        <v>0</v>
      </c>
      <c r="BH118" s="163">
        <f t="shared" si="196"/>
        <v>0</v>
      </c>
      <c r="BI118" s="163">
        <f t="shared" si="196"/>
        <v>0</v>
      </c>
    </row>
    <row r="119" spans="1:63" s="144" customFormat="1" ht="18" customHeight="1" x14ac:dyDescent="0.25">
      <c r="A119" s="381"/>
      <c r="B119" s="382"/>
      <c r="C119" s="385" t="s">
        <v>169</v>
      </c>
      <c r="D119" s="386"/>
      <c r="E119" s="386"/>
      <c r="F119" s="386"/>
      <c r="G119" s="387"/>
      <c r="H119" s="388"/>
      <c r="I119" s="388"/>
      <c r="J119" s="389"/>
      <c r="K119" s="389"/>
      <c r="L119" s="164">
        <f>L118</f>
        <v>0</v>
      </c>
      <c r="M119" s="164">
        <f>M118+L119</f>
        <v>0</v>
      </c>
      <c r="N119" s="164">
        <f t="shared" ref="N119" si="197">N118+M119</f>
        <v>47038783.842400014</v>
      </c>
      <c r="O119" s="164">
        <f t="shared" ref="O119" si="198">O118+N119</f>
        <v>124737023.60600001</v>
      </c>
      <c r="P119" s="164">
        <f t="shared" ref="P119" si="199">P118+O119</f>
        <v>190254335.29080001</v>
      </c>
      <c r="Q119" s="164">
        <f t="shared" ref="Q119" si="200">Q118+P119</f>
        <v>288530302.81800002</v>
      </c>
      <c r="R119" s="164">
        <f t="shared" ref="R119" si="201">R118+Q119</f>
        <v>403185598.26640004</v>
      </c>
      <c r="S119" s="164">
        <f t="shared" ref="S119" si="202">S118+R119</f>
        <v>534220221.63600004</v>
      </c>
      <c r="T119" s="164">
        <f t="shared" ref="T119" si="203">T118+S119</f>
        <v>712293628.84800005</v>
      </c>
      <c r="U119" s="164">
        <f t="shared" ref="U119" si="204">U118+T119</f>
        <v>890367036.06000006</v>
      </c>
      <c r="V119" s="164">
        <f t="shared" ref="V119" si="205">V118+U119</f>
        <v>1070539643.1932001</v>
      </c>
      <c r="W119" s="164">
        <f t="shared" ref="W119" si="206">W118+V119</f>
        <v>1234332922.4052</v>
      </c>
      <c r="X119" s="164">
        <f t="shared" ref="X119" si="207">X118+W119</f>
        <v>1398126201.6171999</v>
      </c>
      <c r="Y119" s="164">
        <f t="shared" ref="Y119" si="208">Y118+X119</f>
        <v>1529160824.9868</v>
      </c>
      <c r="Z119" s="164">
        <f t="shared" ref="Z119" si="209">Z118+Y119</f>
        <v>1627436792.5139999</v>
      </c>
      <c r="AA119" s="164">
        <f t="shared" ref="AA119" si="210">AA118+Z119</f>
        <v>1692954104.1987998</v>
      </c>
      <c r="AB119" s="164">
        <f t="shared" ref="AB119" si="211">AB118+AA119</f>
        <v>1709333432.1199999</v>
      </c>
      <c r="AC119" s="164">
        <f t="shared" ref="AC119" si="212">AC118+AB119</f>
        <v>1709333432.1199999</v>
      </c>
      <c r="AD119" s="164">
        <f t="shared" ref="AD119" si="213">AD118+AC119</f>
        <v>1709333432.1199999</v>
      </c>
      <c r="AE119" s="164">
        <f t="shared" ref="AE119" si="214">AE118+AD119</f>
        <v>1709333432.1199999</v>
      </c>
      <c r="AF119" s="164">
        <f t="shared" ref="AF119" si="215">AF118+AE119</f>
        <v>1709333432.1199999</v>
      </c>
      <c r="AG119" s="164">
        <f t="shared" ref="AG119" si="216">AG118+AF119</f>
        <v>1709333432.1199999</v>
      </c>
      <c r="AH119" s="164">
        <f t="shared" ref="AH119" si="217">AH118+AG119</f>
        <v>1709333432.1199999</v>
      </c>
      <c r="AI119" s="164">
        <f t="shared" ref="AI119" si="218">AI118+AH119</f>
        <v>1709333432.1199999</v>
      </c>
      <c r="AJ119" s="164">
        <f t="shared" ref="AJ119" si="219">AJ118+AI119</f>
        <v>1709333432.1199999</v>
      </c>
      <c r="AK119" s="164">
        <f t="shared" ref="AK119" si="220">AK118+AJ119</f>
        <v>1709333432.1199999</v>
      </c>
      <c r="AL119" s="164">
        <f t="shared" ref="AL119" si="221">AL118+AK119</f>
        <v>1709333432.1199999</v>
      </c>
      <c r="AM119" s="164">
        <f t="shared" ref="AM119" si="222">AM118+AL119</f>
        <v>1709333432.1199999</v>
      </c>
      <c r="AN119" s="164">
        <f t="shared" ref="AN119" si="223">AN118+AM119</f>
        <v>1709333432.1199999</v>
      </c>
      <c r="AO119" s="164">
        <f t="shared" ref="AO119" si="224">AO118+AN119</f>
        <v>1709333432.1199999</v>
      </c>
      <c r="AP119" s="164">
        <f t="shared" ref="AP119" si="225">AP118+AO119</f>
        <v>1709333432.1199999</v>
      </c>
      <c r="AQ119" s="164">
        <f t="shared" ref="AQ119" si="226">AQ118+AP119</f>
        <v>1709333432.1199999</v>
      </c>
      <c r="AR119" s="164">
        <f t="shared" ref="AR119" si="227">AR118+AQ119</f>
        <v>1709333432.1199999</v>
      </c>
      <c r="AS119" s="164">
        <f t="shared" ref="AS119" si="228">AS118+AR119</f>
        <v>1709333432.1199999</v>
      </c>
      <c r="AT119" s="164">
        <f t="shared" ref="AT119" si="229">AT118+AS119</f>
        <v>1709333432.1199999</v>
      </c>
      <c r="AU119" s="164">
        <f t="shared" ref="AU119" si="230">AU118+AT119</f>
        <v>1709333432.1199999</v>
      </c>
      <c r="AV119" s="164">
        <f t="shared" ref="AV119" si="231">AV118+AU119</f>
        <v>1709333432.1199999</v>
      </c>
      <c r="AW119" s="164">
        <f t="shared" ref="AW119" si="232">AW118+AV119</f>
        <v>1709333432.1199999</v>
      </c>
      <c r="AX119" s="164">
        <f t="shared" ref="AX119" si="233">AX118+AW119</f>
        <v>1709333432.1199999</v>
      </c>
      <c r="AY119" s="164">
        <f t="shared" ref="AY119" si="234">AY118+AX119</f>
        <v>1709333432.1199999</v>
      </c>
      <c r="AZ119" s="164">
        <f t="shared" ref="AZ119" si="235">AZ118+AY119</f>
        <v>1709333432.1199999</v>
      </c>
      <c r="BA119" s="164">
        <f t="shared" ref="BA119" si="236">BA118+AZ119</f>
        <v>1709333432.1199999</v>
      </c>
      <c r="BB119" s="164">
        <f t="shared" ref="BB119" si="237">BB118+BA119</f>
        <v>1709333432.1199999</v>
      </c>
      <c r="BC119" s="164">
        <f t="shared" ref="BC119" si="238">BC118+BB119</f>
        <v>1709333432.1199999</v>
      </c>
      <c r="BD119" s="164">
        <f t="shared" ref="BD119" si="239">BD118+BC119</f>
        <v>1709333432.1199999</v>
      </c>
      <c r="BE119" s="164">
        <f t="shared" ref="BE119" si="240">BE118+BD119</f>
        <v>1709333432.1199999</v>
      </c>
      <c r="BF119" s="164">
        <f t="shared" ref="BF119" si="241">BF118+BE119</f>
        <v>1709333432.1199999</v>
      </c>
      <c r="BG119" s="164">
        <f t="shared" ref="BG119" si="242">BG118+BF119</f>
        <v>1709333432.1199999</v>
      </c>
      <c r="BH119" s="164">
        <f t="shared" ref="BH119" si="243">BH118+BG119</f>
        <v>1709333432.1199999</v>
      </c>
      <c r="BI119" s="164">
        <f t="shared" ref="BI119" si="244">BI118+BH119</f>
        <v>1709333432.1199999</v>
      </c>
    </row>
    <row r="120" spans="1:63" s="144" customFormat="1" ht="18" customHeight="1" x14ac:dyDescent="0.25">
      <c r="A120" s="381"/>
      <c r="B120" s="382"/>
      <c r="C120" s="385" t="s">
        <v>170</v>
      </c>
      <c r="D120" s="386"/>
      <c r="E120" s="386"/>
      <c r="F120" s="386"/>
      <c r="G120" s="387"/>
      <c r="H120" s="388"/>
      <c r="I120" s="388"/>
      <c r="J120" s="389"/>
      <c r="K120" s="389"/>
      <c r="L120" s="165">
        <f>L118/$H$118</f>
        <v>0</v>
      </c>
      <c r="M120" s="165">
        <f t="shared" ref="M120:N120" si="245">M118/$H$118</f>
        <v>0</v>
      </c>
      <c r="N120" s="165">
        <f t="shared" si="245"/>
        <v>2.7518787708996125E-2</v>
      </c>
      <c r="O120" s="165">
        <f t="shared" ref="O120:BI120" si="246">O118/$H$118</f>
        <v>4.5455285846269788E-2</v>
      </c>
      <c r="P120" s="165">
        <f t="shared" si="246"/>
        <v>3.8329158286889757E-2</v>
      </c>
      <c r="Q120" s="165">
        <f t="shared" si="246"/>
        <v>5.7493737430334632E-2</v>
      </c>
      <c r="R120" s="165">
        <f t="shared" si="246"/>
        <v>6.7076027002057087E-2</v>
      </c>
      <c r="S120" s="165">
        <f t="shared" si="246"/>
        <v>7.6658316573779514E-2</v>
      </c>
      <c r="T120" s="165">
        <f t="shared" si="246"/>
        <v>0.10417710428277563</v>
      </c>
      <c r="U120" s="165">
        <f t="shared" si="246"/>
        <v>0.10417710428277563</v>
      </c>
      <c r="V120" s="165">
        <f t="shared" si="246"/>
        <v>0.10540518528894684</v>
      </c>
      <c r="W120" s="165">
        <f t="shared" si="246"/>
        <v>9.5822895717224396E-2</v>
      </c>
      <c r="X120" s="165">
        <f t="shared" si="246"/>
        <v>9.5822895717224396E-2</v>
      </c>
      <c r="Y120" s="165">
        <f t="shared" si="246"/>
        <v>7.6658316573779514E-2</v>
      </c>
      <c r="Z120" s="165">
        <f t="shared" si="246"/>
        <v>5.7493737430334632E-2</v>
      </c>
      <c r="AA120" s="165">
        <f t="shared" si="246"/>
        <v>3.8329158286889757E-2</v>
      </c>
      <c r="AB120" s="165">
        <f t="shared" si="246"/>
        <v>9.5822895717224393E-3</v>
      </c>
      <c r="AC120" s="165">
        <f t="shared" si="246"/>
        <v>0</v>
      </c>
      <c r="AD120" s="165">
        <f t="shared" si="246"/>
        <v>0</v>
      </c>
      <c r="AE120" s="165">
        <f t="shared" si="246"/>
        <v>0</v>
      </c>
      <c r="AF120" s="165">
        <f t="shared" si="246"/>
        <v>0</v>
      </c>
      <c r="AG120" s="165">
        <f t="shared" si="246"/>
        <v>0</v>
      </c>
      <c r="AH120" s="165">
        <f t="shared" si="246"/>
        <v>0</v>
      </c>
      <c r="AI120" s="165">
        <f t="shared" si="246"/>
        <v>0</v>
      </c>
      <c r="AJ120" s="165">
        <f t="shared" si="246"/>
        <v>0</v>
      </c>
      <c r="AK120" s="165">
        <f t="shared" si="246"/>
        <v>0</v>
      </c>
      <c r="AL120" s="165">
        <f t="shared" si="246"/>
        <v>0</v>
      </c>
      <c r="AM120" s="165">
        <f t="shared" si="246"/>
        <v>0</v>
      </c>
      <c r="AN120" s="165">
        <f t="shared" si="246"/>
        <v>0</v>
      </c>
      <c r="AO120" s="165">
        <f t="shared" si="246"/>
        <v>0</v>
      </c>
      <c r="AP120" s="165">
        <f t="shared" si="246"/>
        <v>0</v>
      </c>
      <c r="AQ120" s="165">
        <f t="shared" si="246"/>
        <v>0</v>
      </c>
      <c r="AR120" s="165">
        <f t="shared" si="246"/>
        <v>0</v>
      </c>
      <c r="AS120" s="165">
        <f t="shared" si="246"/>
        <v>0</v>
      </c>
      <c r="AT120" s="165">
        <f t="shared" si="246"/>
        <v>0</v>
      </c>
      <c r="AU120" s="165">
        <f t="shared" si="246"/>
        <v>0</v>
      </c>
      <c r="AV120" s="165">
        <f t="shared" si="246"/>
        <v>0</v>
      </c>
      <c r="AW120" s="165">
        <f t="shared" si="246"/>
        <v>0</v>
      </c>
      <c r="AX120" s="165">
        <f t="shared" si="246"/>
        <v>0</v>
      </c>
      <c r="AY120" s="165">
        <f t="shared" si="246"/>
        <v>0</v>
      </c>
      <c r="AZ120" s="165">
        <f t="shared" si="246"/>
        <v>0</v>
      </c>
      <c r="BA120" s="165">
        <f t="shared" si="246"/>
        <v>0</v>
      </c>
      <c r="BB120" s="165">
        <f t="shared" si="246"/>
        <v>0</v>
      </c>
      <c r="BC120" s="165">
        <f t="shared" si="246"/>
        <v>0</v>
      </c>
      <c r="BD120" s="165">
        <f t="shared" si="246"/>
        <v>0</v>
      </c>
      <c r="BE120" s="165">
        <f t="shared" si="246"/>
        <v>0</v>
      </c>
      <c r="BF120" s="165">
        <f t="shared" si="246"/>
        <v>0</v>
      </c>
      <c r="BG120" s="165">
        <f t="shared" si="246"/>
        <v>0</v>
      </c>
      <c r="BH120" s="165">
        <f t="shared" si="246"/>
        <v>0</v>
      </c>
      <c r="BI120" s="165">
        <f t="shared" si="246"/>
        <v>0</v>
      </c>
    </row>
    <row r="121" spans="1:63" s="144" customFormat="1" ht="18" customHeight="1" x14ac:dyDescent="0.25">
      <c r="A121" s="383"/>
      <c r="B121" s="384"/>
      <c r="C121" s="385" t="s">
        <v>171</v>
      </c>
      <c r="D121" s="386"/>
      <c r="E121" s="386"/>
      <c r="F121" s="386"/>
      <c r="G121" s="387"/>
      <c r="H121" s="388"/>
      <c r="I121" s="388"/>
      <c r="J121" s="389"/>
      <c r="K121" s="389"/>
      <c r="L121" s="165">
        <f t="shared" ref="L121" si="247">L120+K121</f>
        <v>0</v>
      </c>
      <c r="M121" s="165">
        <f>M120+L121</f>
        <v>0</v>
      </c>
      <c r="N121" s="165">
        <f t="shared" ref="N121" si="248">N120+M121</f>
        <v>2.7518787708996125E-2</v>
      </c>
      <c r="O121" s="165">
        <f t="shared" ref="O121" si="249">O120+N121</f>
        <v>7.2974073555265917E-2</v>
      </c>
      <c r="P121" s="165">
        <f t="shared" ref="P121" si="250">P120+O121</f>
        <v>0.11130323184215568</v>
      </c>
      <c r="Q121" s="165">
        <f t="shared" ref="Q121" si="251">Q120+P121</f>
        <v>0.16879696927249033</v>
      </c>
      <c r="R121" s="165">
        <f t="shared" ref="R121" si="252">R120+Q121</f>
        <v>0.23587299627454741</v>
      </c>
      <c r="S121" s="165">
        <f t="shared" ref="S121" si="253">S120+R121</f>
        <v>0.31253131284832691</v>
      </c>
      <c r="T121" s="165">
        <f t="shared" ref="T121" si="254">T120+S121</f>
        <v>0.41670841713110252</v>
      </c>
      <c r="U121" s="165">
        <f t="shared" ref="U121" si="255">U120+T121</f>
        <v>0.52088552141387812</v>
      </c>
      <c r="V121" s="165">
        <f t="shared" ref="V121" si="256">V120+U121</f>
        <v>0.62629070670282494</v>
      </c>
      <c r="W121" s="165">
        <f t="shared" ref="W121" si="257">W120+V121</f>
        <v>0.72211360242004929</v>
      </c>
      <c r="X121" s="165">
        <f t="shared" ref="X121" si="258">X120+W121</f>
        <v>0.81793649813727365</v>
      </c>
      <c r="Y121" s="165">
        <f t="shared" ref="Y121" si="259">Y120+X121</f>
        <v>0.89459481471105318</v>
      </c>
      <c r="Z121" s="165">
        <f t="shared" ref="Z121" si="260">Z120+Y121</f>
        <v>0.95208855214138777</v>
      </c>
      <c r="AA121" s="165">
        <f t="shared" ref="AA121" si="261">AA120+Z121</f>
        <v>0.99041771042827753</v>
      </c>
      <c r="AB121" s="165">
        <f t="shared" ref="AB121" si="262">AB120+AA121</f>
        <v>1</v>
      </c>
      <c r="AC121" s="165">
        <f t="shared" ref="AC121" si="263">AC120+AB121</f>
        <v>1</v>
      </c>
      <c r="AD121" s="165">
        <f t="shared" ref="AD121" si="264">AD120+AC121</f>
        <v>1</v>
      </c>
      <c r="AE121" s="165">
        <f t="shared" ref="AE121" si="265">AE120+AD121</f>
        <v>1</v>
      </c>
      <c r="AF121" s="165">
        <f t="shared" ref="AF121" si="266">AF120+AE121</f>
        <v>1</v>
      </c>
      <c r="AG121" s="165">
        <f t="shared" ref="AG121" si="267">AG120+AF121</f>
        <v>1</v>
      </c>
      <c r="AH121" s="165">
        <f t="shared" ref="AH121" si="268">AH120+AG121</f>
        <v>1</v>
      </c>
      <c r="AI121" s="165">
        <f t="shared" ref="AI121" si="269">AI120+AH121</f>
        <v>1</v>
      </c>
      <c r="AJ121" s="165">
        <f t="shared" ref="AJ121" si="270">AJ120+AI121</f>
        <v>1</v>
      </c>
      <c r="AK121" s="165">
        <f t="shared" ref="AK121" si="271">AK120+AJ121</f>
        <v>1</v>
      </c>
      <c r="AL121" s="165">
        <f t="shared" ref="AL121" si="272">AL120+AK121</f>
        <v>1</v>
      </c>
      <c r="AM121" s="165">
        <f t="shared" ref="AM121" si="273">AM120+AL121</f>
        <v>1</v>
      </c>
      <c r="AN121" s="165">
        <f t="shared" ref="AN121" si="274">AN120+AM121</f>
        <v>1</v>
      </c>
      <c r="AO121" s="165">
        <f t="shared" ref="AO121" si="275">AO120+AN121</f>
        <v>1</v>
      </c>
      <c r="AP121" s="165">
        <f t="shared" ref="AP121" si="276">AP120+AO121</f>
        <v>1</v>
      </c>
      <c r="AQ121" s="165">
        <f t="shared" ref="AQ121" si="277">AQ120+AP121</f>
        <v>1</v>
      </c>
      <c r="AR121" s="165">
        <f t="shared" ref="AR121" si="278">AR120+AQ121</f>
        <v>1</v>
      </c>
      <c r="AS121" s="165">
        <f t="shared" ref="AS121" si="279">AS120+AR121</f>
        <v>1</v>
      </c>
      <c r="AT121" s="165">
        <f t="shared" ref="AT121" si="280">AT120+AS121</f>
        <v>1</v>
      </c>
      <c r="AU121" s="165">
        <f t="shared" ref="AU121" si="281">AU120+AT121</f>
        <v>1</v>
      </c>
      <c r="AV121" s="165">
        <f t="shared" ref="AV121" si="282">AV120+AU121</f>
        <v>1</v>
      </c>
      <c r="AW121" s="165">
        <f t="shared" ref="AW121" si="283">AW120+AV121</f>
        <v>1</v>
      </c>
      <c r="AX121" s="165">
        <f t="shared" ref="AX121" si="284">AX120+AW121</f>
        <v>1</v>
      </c>
      <c r="AY121" s="165">
        <f t="shared" ref="AY121" si="285">AY120+AX121</f>
        <v>1</v>
      </c>
      <c r="AZ121" s="165">
        <f t="shared" ref="AZ121" si="286">AZ120+AY121</f>
        <v>1</v>
      </c>
      <c r="BA121" s="165">
        <f t="shared" ref="BA121" si="287">BA120+AZ121</f>
        <v>1</v>
      </c>
      <c r="BB121" s="165">
        <f t="shared" ref="BB121" si="288">BB120+BA121</f>
        <v>1</v>
      </c>
      <c r="BC121" s="165">
        <f t="shared" ref="BC121" si="289">BC120+BB121</f>
        <v>1</v>
      </c>
      <c r="BD121" s="165">
        <f t="shared" ref="BD121" si="290">BD120+BC121</f>
        <v>1</v>
      </c>
      <c r="BE121" s="165">
        <f t="shared" ref="BE121" si="291">BE120+BD121</f>
        <v>1</v>
      </c>
      <c r="BF121" s="165">
        <f t="shared" ref="BF121" si="292">BF120+BE121</f>
        <v>1</v>
      </c>
      <c r="BG121" s="165">
        <f t="shared" ref="BG121" si="293">BG120+BF121</f>
        <v>1</v>
      </c>
      <c r="BH121" s="165">
        <f t="shared" ref="BH121" si="294">BH120+BG121</f>
        <v>1</v>
      </c>
      <c r="BI121" s="165">
        <f t="shared" ref="BI121" si="295">BI120+BH121</f>
        <v>1</v>
      </c>
    </row>
    <row r="122" spans="1:63" s="140" customFormat="1" ht="10.199999999999999" x14ac:dyDescent="0.25">
      <c r="I122" s="145"/>
      <c r="J122" s="145"/>
      <c r="K122" s="145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  <c r="AC122" s="146"/>
      <c r="AD122" s="146"/>
      <c r="AE122" s="146"/>
      <c r="AF122" s="146"/>
      <c r="AG122" s="146"/>
      <c r="AH122" s="146"/>
      <c r="AI122" s="146"/>
      <c r="AJ122" s="146"/>
      <c r="AK122" s="146"/>
      <c r="AL122" s="146"/>
      <c r="AM122" s="146"/>
      <c r="AN122" s="146"/>
      <c r="AO122" s="146"/>
      <c r="AP122" s="146"/>
      <c r="AQ122" s="146"/>
      <c r="AR122" s="146"/>
      <c r="AS122" s="146"/>
      <c r="AT122" s="146"/>
      <c r="AU122" s="146"/>
      <c r="AV122" s="146"/>
      <c r="AW122" s="146"/>
      <c r="AX122" s="146"/>
      <c r="AY122" s="146"/>
      <c r="AZ122" s="146"/>
      <c r="BA122" s="146"/>
      <c r="BB122" s="146"/>
      <c r="BC122" s="146"/>
      <c r="BD122" s="146"/>
      <c r="BE122" s="146"/>
      <c r="BF122" s="146"/>
      <c r="BG122" s="146"/>
      <c r="BH122" s="146"/>
      <c r="BI122" s="146"/>
    </row>
    <row r="123" spans="1:63" s="144" customFormat="1" ht="18" customHeight="1" x14ac:dyDescent="0.25">
      <c r="A123" s="368" t="s">
        <v>224</v>
      </c>
      <c r="B123" s="369"/>
      <c r="C123" s="374" t="s">
        <v>168</v>
      </c>
      <c r="D123" s="375"/>
      <c r="E123" s="375"/>
      <c r="F123" s="375"/>
      <c r="G123" s="376"/>
      <c r="H123" s="377"/>
      <c r="I123" s="377">
        <f>SUM(I95,I99,I103,I109,I113)</f>
        <v>1087354105.0330286</v>
      </c>
      <c r="J123" s="378"/>
      <c r="K123" s="378">
        <f>SUM(K95,K99,K103,K109,K113)</f>
        <v>1</v>
      </c>
      <c r="L123" s="200">
        <f>SUMPRODUCT($I95:$I116,L95:L116)</f>
        <v>0</v>
      </c>
      <c r="M123" s="200">
        <f t="shared" ref="M123:N123" si="296">SUMPRODUCT($I95:$I116,M95:M116)</f>
        <v>6476321.6899999995</v>
      </c>
      <c r="N123" s="200">
        <f t="shared" si="296"/>
        <v>39651211.971160576</v>
      </c>
      <c r="O123" s="200">
        <f t="shared" ref="O123:BI123" si="297">SUMPRODUCT($I95:$I116,O95:O116)</f>
        <v>48385875.354240865</v>
      </c>
      <c r="P123" s="200">
        <f t="shared" si="297"/>
        <v>40954651.27232115</v>
      </c>
      <c r="Q123" s="200">
        <f t="shared" si="297"/>
        <v>61431976.908481717</v>
      </c>
      <c r="R123" s="200">
        <f t="shared" si="297"/>
        <v>71670639.726562023</v>
      </c>
      <c r="S123" s="200">
        <f t="shared" si="297"/>
        <v>81909302.544642299</v>
      </c>
      <c r="T123" s="200">
        <f t="shared" si="297"/>
        <v>110597111.28080288</v>
      </c>
      <c r="U123" s="200">
        <f t="shared" si="297"/>
        <v>114343873.38080287</v>
      </c>
      <c r="V123" s="200">
        <f t="shared" si="297"/>
        <v>112625290.99888316</v>
      </c>
      <c r="W123" s="200">
        <f t="shared" si="297"/>
        <v>102386628.18080288</v>
      </c>
      <c r="X123" s="200">
        <f t="shared" si="297"/>
        <v>102386628.18080288</v>
      </c>
      <c r="Y123" s="200">
        <f t="shared" si="297"/>
        <v>81909302.544642299</v>
      </c>
      <c r="Z123" s="200">
        <f t="shared" si="297"/>
        <v>61431976.908481717</v>
      </c>
      <c r="AA123" s="200">
        <f t="shared" si="297"/>
        <v>40954651.27232115</v>
      </c>
      <c r="AB123" s="200">
        <f t="shared" si="297"/>
        <v>10238662.818080287</v>
      </c>
      <c r="AC123" s="200">
        <f t="shared" si="297"/>
        <v>0</v>
      </c>
      <c r="AD123" s="200">
        <f t="shared" si="297"/>
        <v>0</v>
      </c>
      <c r="AE123" s="200">
        <f t="shared" si="297"/>
        <v>0</v>
      </c>
      <c r="AF123" s="200">
        <f t="shared" si="297"/>
        <v>0</v>
      </c>
      <c r="AG123" s="200">
        <f t="shared" si="297"/>
        <v>0</v>
      </c>
      <c r="AH123" s="200">
        <f t="shared" si="297"/>
        <v>0</v>
      </c>
      <c r="AI123" s="200">
        <f t="shared" si="297"/>
        <v>0</v>
      </c>
      <c r="AJ123" s="200">
        <f t="shared" si="297"/>
        <v>0</v>
      </c>
      <c r="AK123" s="200">
        <f t="shared" si="297"/>
        <v>0</v>
      </c>
      <c r="AL123" s="200">
        <f t="shared" si="297"/>
        <v>0</v>
      </c>
      <c r="AM123" s="200">
        <f t="shared" si="297"/>
        <v>0</v>
      </c>
      <c r="AN123" s="200">
        <f t="shared" si="297"/>
        <v>0</v>
      </c>
      <c r="AO123" s="200">
        <f t="shared" si="297"/>
        <v>0</v>
      </c>
      <c r="AP123" s="200">
        <f t="shared" si="297"/>
        <v>0</v>
      </c>
      <c r="AQ123" s="200">
        <f t="shared" si="297"/>
        <v>0</v>
      </c>
      <c r="AR123" s="200">
        <f t="shared" si="297"/>
        <v>0</v>
      </c>
      <c r="AS123" s="200">
        <f t="shared" si="297"/>
        <v>0</v>
      </c>
      <c r="AT123" s="200">
        <f t="shared" si="297"/>
        <v>0</v>
      </c>
      <c r="AU123" s="200">
        <f t="shared" si="297"/>
        <v>0</v>
      </c>
      <c r="AV123" s="200">
        <f t="shared" si="297"/>
        <v>0</v>
      </c>
      <c r="AW123" s="200">
        <f t="shared" si="297"/>
        <v>0</v>
      </c>
      <c r="AX123" s="200">
        <f t="shared" si="297"/>
        <v>0</v>
      </c>
      <c r="AY123" s="200">
        <f t="shared" si="297"/>
        <v>0</v>
      </c>
      <c r="AZ123" s="200">
        <f t="shared" si="297"/>
        <v>0</v>
      </c>
      <c r="BA123" s="200">
        <f t="shared" si="297"/>
        <v>0</v>
      </c>
      <c r="BB123" s="200">
        <f t="shared" si="297"/>
        <v>0</v>
      </c>
      <c r="BC123" s="200">
        <f t="shared" si="297"/>
        <v>0</v>
      </c>
      <c r="BD123" s="200">
        <f t="shared" si="297"/>
        <v>0</v>
      </c>
      <c r="BE123" s="200">
        <f t="shared" si="297"/>
        <v>0</v>
      </c>
      <c r="BF123" s="200">
        <f t="shared" si="297"/>
        <v>0</v>
      </c>
      <c r="BG123" s="200">
        <f t="shared" si="297"/>
        <v>0</v>
      </c>
      <c r="BH123" s="200">
        <f t="shared" si="297"/>
        <v>0</v>
      </c>
      <c r="BI123" s="200">
        <f t="shared" si="297"/>
        <v>0</v>
      </c>
    </row>
    <row r="124" spans="1:63" s="144" customFormat="1" ht="18" customHeight="1" x14ac:dyDescent="0.25">
      <c r="A124" s="370"/>
      <c r="B124" s="371"/>
      <c r="C124" s="374" t="s">
        <v>169</v>
      </c>
      <c r="D124" s="375"/>
      <c r="E124" s="375"/>
      <c r="F124" s="375"/>
      <c r="G124" s="376"/>
      <c r="H124" s="377"/>
      <c r="I124" s="377"/>
      <c r="J124" s="378"/>
      <c r="K124" s="378"/>
      <c r="L124" s="201">
        <f>L123</f>
        <v>0</v>
      </c>
      <c r="M124" s="201">
        <f>M123+L124</f>
        <v>6476321.6899999995</v>
      </c>
      <c r="N124" s="201">
        <f t="shared" ref="N124" si="298">N123+M124</f>
        <v>46127533.661160573</v>
      </c>
      <c r="O124" s="201">
        <f t="shared" ref="O124" si="299">O123+N124</f>
        <v>94513409.015401438</v>
      </c>
      <c r="P124" s="201">
        <f t="shared" ref="P124" si="300">P123+O124</f>
        <v>135468060.28772259</v>
      </c>
      <c r="Q124" s="201">
        <f t="shared" ref="Q124" si="301">Q123+P124</f>
        <v>196900037.1962043</v>
      </c>
      <c r="R124" s="201">
        <f t="shared" ref="R124" si="302">R123+Q124</f>
        <v>268570676.92276633</v>
      </c>
      <c r="S124" s="201">
        <f t="shared" ref="S124" si="303">S123+R124</f>
        <v>350479979.46740866</v>
      </c>
      <c r="T124" s="201">
        <f t="shared" ref="T124" si="304">T123+S124</f>
        <v>461077090.7482115</v>
      </c>
      <c r="U124" s="201">
        <f t="shared" ref="U124" si="305">U123+T124</f>
        <v>575420964.12901437</v>
      </c>
      <c r="V124" s="201">
        <f t="shared" ref="V124" si="306">V123+U124</f>
        <v>688046255.1278975</v>
      </c>
      <c r="W124" s="201">
        <f t="shared" ref="W124" si="307">W123+V124</f>
        <v>790432883.30870032</v>
      </c>
      <c r="X124" s="201">
        <f t="shared" ref="X124" si="308">X123+W124</f>
        <v>892819511.48950315</v>
      </c>
      <c r="Y124" s="201">
        <f t="shared" ref="Y124" si="309">Y123+X124</f>
        <v>974728814.03414547</v>
      </c>
      <c r="Z124" s="201">
        <f t="shared" ref="Z124" si="310">Z123+Y124</f>
        <v>1036160790.9426272</v>
      </c>
      <c r="AA124" s="201">
        <f t="shared" ref="AA124" si="311">AA123+Z124</f>
        <v>1077115442.2149484</v>
      </c>
      <c r="AB124" s="201">
        <f t="shared" ref="AB124" si="312">AB123+AA124</f>
        <v>1087354105.0330286</v>
      </c>
      <c r="AC124" s="201">
        <f t="shared" ref="AC124" si="313">AC123+AB124</f>
        <v>1087354105.0330286</v>
      </c>
      <c r="AD124" s="201">
        <f t="shared" ref="AD124" si="314">AD123+AC124</f>
        <v>1087354105.0330286</v>
      </c>
      <c r="AE124" s="201">
        <f t="shared" ref="AE124" si="315">AE123+AD124</f>
        <v>1087354105.0330286</v>
      </c>
      <c r="AF124" s="201">
        <f t="shared" ref="AF124" si="316">AF123+AE124</f>
        <v>1087354105.0330286</v>
      </c>
      <c r="AG124" s="201">
        <f t="shared" ref="AG124" si="317">AG123+AF124</f>
        <v>1087354105.0330286</v>
      </c>
      <c r="AH124" s="201">
        <f t="shared" ref="AH124" si="318">AH123+AG124</f>
        <v>1087354105.0330286</v>
      </c>
      <c r="AI124" s="201">
        <f t="shared" ref="AI124" si="319">AI123+AH124</f>
        <v>1087354105.0330286</v>
      </c>
      <c r="AJ124" s="201">
        <f t="shared" ref="AJ124" si="320">AJ123+AI124</f>
        <v>1087354105.0330286</v>
      </c>
      <c r="AK124" s="201">
        <f t="shared" ref="AK124" si="321">AK123+AJ124</f>
        <v>1087354105.0330286</v>
      </c>
      <c r="AL124" s="201">
        <f t="shared" ref="AL124" si="322">AL123+AK124</f>
        <v>1087354105.0330286</v>
      </c>
      <c r="AM124" s="201">
        <f t="shared" ref="AM124" si="323">AM123+AL124</f>
        <v>1087354105.0330286</v>
      </c>
      <c r="AN124" s="201">
        <f t="shared" ref="AN124" si="324">AN123+AM124</f>
        <v>1087354105.0330286</v>
      </c>
      <c r="AO124" s="201">
        <f t="shared" ref="AO124" si="325">AO123+AN124</f>
        <v>1087354105.0330286</v>
      </c>
      <c r="AP124" s="201">
        <f t="shared" ref="AP124" si="326">AP123+AO124</f>
        <v>1087354105.0330286</v>
      </c>
      <c r="AQ124" s="201">
        <f t="shared" ref="AQ124" si="327">AQ123+AP124</f>
        <v>1087354105.0330286</v>
      </c>
      <c r="AR124" s="201">
        <f t="shared" ref="AR124" si="328">AR123+AQ124</f>
        <v>1087354105.0330286</v>
      </c>
      <c r="AS124" s="201">
        <f t="shared" ref="AS124" si="329">AS123+AR124</f>
        <v>1087354105.0330286</v>
      </c>
      <c r="AT124" s="201">
        <f t="shared" ref="AT124" si="330">AT123+AS124</f>
        <v>1087354105.0330286</v>
      </c>
      <c r="AU124" s="201">
        <f t="shared" ref="AU124" si="331">AU123+AT124</f>
        <v>1087354105.0330286</v>
      </c>
      <c r="AV124" s="201">
        <f t="shared" ref="AV124" si="332">AV123+AU124</f>
        <v>1087354105.0330286</v>
      </c>
      <c r="AW124" s="201">
        <f t="shared" ref="AW124" si="333">AW123+AV124</f>
        <v>1087354105.0330286</v>
      </c>
      <c r="AX124" s="201">
        <f t="shared" ref="AX124" si="334">AX123+AW124</f>
        <v>1087354105.0330286</v>
      </c>
      <c r="AY124" s="201">
        <f t="shared" ref="AY124" si="335">AY123+AX124</f>
        <v>1087354105.0330286</v>
      </c>
      <c r="AZ124" s="201">
        <f t="shared" ref="AZ124" si="336">AZ123+AY124</f>
        <v>1087354105.0330286</v>
      </c>
      <c r="BA124" s="201">
        <f t="shared" ref="BA124" si="337">BA123+AZ124</f>
        <v>1087354105.0330286</v>
      </c>
      <c r="BB124" s="201">
        <f t="shared" ref="BB124" si="338">BB123+BA124</f>
        <v>1087354105.0330286</v>
      </c>
      <c r="BC124" s="201">
        <f t="shared" ref="BC124" si="339">BC123+BB124</f>
        <v>1087354105.0330286</v>
      </c>
      <c r="BD124" s="201">
        <f t="shared" ref="BD124" si="340">BD123+BC124</f>
        <v>1087354105.0330286</v>
      </c>
      <c r="BE124" s="201">
        <f t="shared" ref="BE124" si="341">BE123+BD124</f>
        <v>1087354105.0330286</v>
      </c>
      <c r="BF124" s="201">
        <f t="shared" ref="BF124" si="342">BF123+BE124</f>
        <v>1087354105.0330286</v>
      </c>
      <c r="BG124" s="201">
        <f t="shared" ref="BG124" si="343">BG123+BF124</f>
        <v>1087354105.0330286</v>
      </c>
      <c r="BH124" s="201">
        <f t="shared" ref="BH124" si="344">BH123+BG124</f>
        <v>1087354105.0330286</v>
      </c>
      <c r="BI124" s="201">
        <f t="shared" ref="BI124" si="345">BI123+BH124</f>
        <v>1087354105.0330286</v>
      </c>
    </row>
    <row r="125" spans="1:63" s="144" customFormat="1" ht="18" customHeight="1" x14ac:dyDescent="0.25">
      <c r="A125" s="370"/>
      <c r="B125" s="371"/>
      <c r="C125" s="374" t="s">
        <v>170</v>
      </c>
      <c r="D125" s="375"/>
      <c r="E125" s="375"/>
      <c r="F125" s="375"/>
      <c r="G125" s="376"/>
      <c r="H125" s="377"/>
      <c r="I125" s="377"/>
      <c r="J125" s="378"/>
      <c r="K125" s="378"/>
      <c r="L125" s="202">
        <f>L123/$I$123</f>
        <v>0</v>
      </c>
      <c r="M125" s="202">
        <f t="shared" ref="M125:N125" si="346">M123/$I$123</f>
        <v>5.9560373755183273E-3</v>
      </c>
      <c r="N125" s="202">
        <f t="shared" si="346"/>
        <v>3.6465776684547639E-2</v>
      </c>
      <c r="O125" s="202">
        <f t="shared" ref="O125:BI125" si="347">O123/$I$123</f>
        <v>4.4498728730849951E-2</v>
      </c>
      <c r="P125" s="202">
        <f t="shared" si="347"/>
        <v>3.7664502375771271E-2</v>
      </c>
      <c r="Q125" s="202">
        <f t="shared" si="347"/>
        <v>5.6496753563656903E-2</v>
      </c>
      <c r="R125" s="202">
        <f t="shared" si="347"/>
        <v>6.5912879157599732E-2</v>
      </c>
      <c r="S125" s="202">
        <f t="shared" si="347"/>
        <v>7.5329004751542541E-2</v>
      </c>
      <c r="T125" s="202">
        <f t="shared" si="347"/>
        <v>0.10171213845506516</v>
      </c>
      <c r="U125" s="202">
        <f t="shared" si="347"/>
        <v>0.10515789920830772</v>
      </c>
      <c r="V125" s="202">
        <f t="shared" si="347"/>
        <v>0.103577381533371</v>
      </c>
      <c r="W125" s="202">
        <f t="shared" si="347"/>
        <v>9.4161255939428187E-2</v>
      </c>
      <c r="X125" s="202">
        <f t="shared" si="347"/>
        <v>9.4161255939428187E-2</v>
      </c>
      <c r="Y125" s="202">
        <f t="shared" si="347"/>
        <v>7.5329004751542541E-2</v>
      </c>
      <c r="Z125" s="202">
        <f t="shared" si="347"/>
        <v>5.6496753563656903E-2</v>
      </c>
      <c r="AA125" s="202">
        <f t="shared" si="347"/>
        <v>3.7664502375771271E-2</v>
      </c>
      <c r="AB125" s="202">
        <f t="shared" si="347"/>
        <v>9.4161255939428177E-3</v>
      </c>
      <c r="AC125" s="202">
        <f t="shared" si="347"/>
        <v>0</v>
      </c>
      <c r="AD125" s="202">
        <f t="shared" si="347"/>
        <v>0</v>
      </c>
      <c r="AE125" s="202">
        <f t="shared" si="347"/>
        <v>0</v>
      </c>
      <c r="AF125" s="202">
        <f t="shared" si="347"/>
        <v>0</v>
      </c>
      <c r="AG125" s="202">
        <f t="shared" si="347"/>
        <v>0</v>
      </c>
      <c r="AH125" s="202">
        <f t="shared" si="347"/>
        <v>0</v>
      </c>
      <c r="AI125" s="202">
        <f t="shared" si="347"/>
        <v>0</v>
      </c>
      <c r="AJ125" s="202">
        <f t="shared" si="347"/>
        <v>0</v>
      </c>
      <c r="AK125" s="202">
        <f t="shared" si="347"/>
        <v>0</v>
      </c>
      <c r="AL125" s="202">
        <f t="shared" si="347"/>
        <v>0</v>
      </c>
      <c r="AM125" s="202">
        <f t="shared" si="347"/>
        <v>0</v>
      </c>
      <c r="AN125" s="202">
        <f t="shared" si="347"/>
        <v>0</v>
      </c>
      <c r="AO125" s="202">
        <f t="shared" si="347"/>
        <v>0</v>
      </c>
      <c r="AP125" s="202">
        <f t="shared" si="347"/>
        <v>0</v>
      </c>
      <c r="AQ125" s="202">
        <f t="shared" si="347"/>
        <v>0</v>
      </c>
      <c r="AR125" s="202">
        <f t="shared" si="347"/>
        <v>0</v>
      </c>
      <c r="AS125" s="202">
        <f t="shared" si="347"/>
        <v>0</v>
      </c>
      <c r="AT125" s="202">
        <f t="shared" si="347"/>
        <v>0</v>
      </c>
      <c r="AU125" s="202">
        <f t="shared" si="347"/>
        <v>0</v>
      </c>
      <c r="AV125" s="202">
        <f t="shared" si="347"/>
        <v>0</v>
      </c>
      <c r="AW125" s="202">
        <f t="shared" si="347"/>
        <v>0</v>
      </c>
      <c r="AX125" s="202">
        <f t="shared" si="347"/>
        <v>0</v>
      </c>
      <c r="AY125" s="202">
        <f t="shared" si="347"/>
        <v>0</v>
      </c>
      <c r="AZ125" s="202">
        <f t="shared" si="347"/>
        <v>0</v>
      </c>
      <c r="BA125" s="202">
        <f t="shared" si="347"/>
        <v>0</v>
      </c>
      <c r="BB125" s="202">
        <f t="shared" si="347"/>
        <v>0</v>
      </c>
      <c r="BC125" s="202">
        <f t="shared" si="347"/>
        <v>0</v>
      </c>
      <c r="BD125" s="202">
        <f t="shared" si="347"/>
        <v>0</v>
      </c>
      <c r="BE125" s="202">
        <f t="shared" si="347"/>
        <v>0</v>
      </c>
      <c r="BF125" s="202">
        <f t="shared" si="347"/>
        <v>0</v>
      </c>
      <c r="BG125" s="202">
        <f t="shared" si="347"/>
        <v>0</v>
      </c>
      <c r="BH125" s="202">
        <f t="shared" si="347"/>
        <v>0</v>
      </c>
      <c r="BI125" s="202">
        <f t="shared" si="347"/>
        <v>0</v>
      </c>
    </row>
    <row r="126" spans="1:63" s="144" customFormat="1" ht="18" customHeight="1" x14ac:dyDescent="0.25">
      <c r="A126" s="372"/>
      <c r="B126" s="373"/>
      <c r="C126" s="374" t="s">
        <v>171</v>
      </c>
      <c r="D126" s="375"/>
      <c r="E126" s="375"/>
      <c r="F126" s="375"/>
      <c r="G126" s="376"/>
      <c r="H126" s="377"/>
      <c r="I126" s="377"/>
      <c r="J126" s="378"/>
      <c r="K126" s="378"/>
      <c r="L126" s="202">
        <f>L125</f>
        <v>0</v>
      </c>
      <c r="M126" s="202">
        <f t="shared" ref="M126" si="348">M125+L126</f>
        <v>5.9560373755183273E-3</v>
      </c>
      <c r="N126" s="202">
        <f t="shared" ref="N126" si="349">N125+M126</f>
        <v>4.2421814060065968E-2</v>
      </c>
      <c r="O126" s="202">
        <f t="shared" ref="O126" si="350">O125+N126</f>
        <v>8.692054279091592E-2</v>
      </c>
      <c r="P126" s="202">
        <f t="shared" ref="P126" si="351">P125+O126</f>
        <v>0.1245850451666872</v>
      </c>
      <c r="Q126" s="202">
        <f t="shared" ref="Q126" si="352">Q125+P126</f>
        <v>0.18108179873034411</v>
      </c>
      <c r="R126" s="202">
        <f t="shared" ref="R126" si="353">R125+Q126</f>
        <v>0.24699467788794383</v>
      </c>
      <c r="S126" s="202">
        <f t="shared" ref="S126" si="354">S125+R126</f>
        <v>0.32232368263948635</v>
      </c>
      <c r="T126" s="202">
        <f t="shared" ref="T126" si="355">T125+S126</f>
        <v>0.42403582109455151</v>
      </c>
      <c r="U126" s="202">
        <f t="shared" ref="U126" si="356">U125+T126</f>
        <v>0.52919372030285927</v>
      </c>
      <c r="V126" s="202">
        <f t="shared" ref="V126" si="357">V125+U126</f>
        <v>0.63277110183623031</v>
      </c>
      <c r="W126" s="202">
        <f t="shared" ref="W126" si="358">W125+V126</f>
        <v>0.72693235777565846</v>
      </c>
      <c r="X126" s="202">
        <f t="shared" ref="X126" si="359">X125+W126</f>
        <v>0.8210936137150866</v>
      </c>
      <c r="Y126" s="202">
        <f t="shared" ref="Y126" si="360">Y125+X126</f>
        <v>0.89642261846662918</v>
      </c>
      <c r="Z126" s="202">
        <f t="shared" ref="Z126" si="361">Z125+Y126</f>
        <v>0.95291937203028609</v>
      </c>
      <c r="AA126" s="202">
        <f t="shared" ref="AA126" si="362">AA125+Z126</f>
        <v>0.99058387440605733</v>
      </c>
      <c r="AB126" s="202">
        <f t="shared" ref="AB126" si="363">AB125+AA126</f>
        <v>1.0000000000000002</v>
      </c>
      <c r="AC126" s="202">
        <f t="shared" ref="AC126" si="364">AC125+AB126</f>
        <v>1.0000000000000002</v>
      </c>
      <c r="AD126" s="202">
        <f t="shared" ref="AD126" si="365">AD125+AC126</f>
        <v>1.0000000000000002</v>
      </c>
      <c r="AE126" s="202">
        <f t="shared" ref="AE126" si="366">AE125+AD126</f>
        <v>1.0000000000000002</v>
      </c>
      <c r="AF126" s="202">
        <f t="shared" ref="AF126" si="367">AF125+AE126</f>
        <v>1.0000000000000002</v>
      </c>
      <c r="AG126" s="202">
        <f t="shared" ref="AG126" si="368">AG125+AF126</f>
        <v>1.0000000000000002</v>
      </c>
      <c r="AH126" s="202">
        <f t="shared" ref="AH126" si="369">AH125+AG126</f>
        <v>1.0000000000000002</v>
      </c>
      <c r="AI126" s="202">
        <f t="shared" ref="AI126" si="370">AI125+AH126</f>
        <v>1.0000000000000002</v>
      </c>
      <c r="AJ126" s="202">
        <f t="shared" ref="AJ126" si="371">AJ125+AI126</f>
        <v>1.0000000000000002</v>
      </c>
      <c r="AK126" s="202">
        <f t="shared" ref="AK126" si="372">AK125+AJ126</f>
        <v>1.0000000000000002</v>
      </c>
      <c r="AL126" s="202">
        <f t="shared" ref="AL126" si="373">AL125+AK126</f>
        <v>1.0000000000000002</v>
      </c>
      <c r="AM126" s="202">
        <f t="shared" ref="AM126" si="374">AM125+AL126</f>
        <v>1.0000000000000002</v>
      </c>
      <c r="AN126" s="202">
        <f t="shared" ref="AN126" si="375">AN125+AM126</f>
        <v>1.0000000000000002</v>
      </c>
      <c r="AO126" s="202">
        <f t="shared" ref="AO126" si="376">AO125+AN126</f>
        <v>1.0000000000000002</v>
      </c>
      <c r="AP126" s="202">
        <f t="shared" ref="AP126" si="377">AP125+AO126</f>
        <v>1.0000000000000002</v>
      </c>
      <c r="AQ126" s="202">
        <f t="shared" ref="AQ126" si="378">AQ125+AP126</f>
        <v>1.0000000000000002</v>
      </c>
      <c r="AR126" s="202">
        <f t="shared" ref="AR126" si="379">AR125+AQ126</f>
        <v>1.0000000000000002</v>
      </c>
      <c r="AS126" s="202">
        <f t="shared" ref="AS126" si="380">AS125+AR126</f>
        <v>1.0000000000000002</v>
      </c>
      <c r="AT126" s="202">
        <f t="shared" ref="AT126" si="381">AT125+AS126</f>
        <v>1.0000000000000002</v>
      </c>
      <c r="AU126" s="202">
        <f t="shared" ref="AU126" si="382">AU125+AT126</f>
        <v>1.0000000000000002</v>
      </c>
      <c r="AV126" s="202">
        <f t="shared" ref="AV126" si="383">AV125+AU126</f>
        <v>1.0000000000000002</v>
      </c>
      <c r="AW126" s="202">
        <f t="shared" ref="AW126" si="384">AW125+AV126</f>
        <v>1.0000000000000002</v>
      </c>
      <c r="AX126" s="202">
        <f t="shared" ref="AX126" si="385">AX125+AW126</f>
        <v>1.0000000000000002</v>
      </c>
      <c r="AY126" s="202">
        <f t="shared" ref="AY126" si="386">AY125+AX126</f>
        <v>1.0000000000000002</v>
      </c>
      <c r="AZ126" s="202">
        <f t="shared" ref="AZ126" si="387">AZ125+AY126</f>
        <v>1.0000000000000002</v>
      </c>
      <c r="BA126" s="202">
        <f t="shared" ref="BA126" si="388">BA125+AZ126</f>
        <v>1.0000000000000002</v>
      </c>
      <c r="BB126" s="202">
        <f t="shared" ref="BB126" si="389">BB125+BA126</f>
        <v>1.0000000000000002</v>
      </c>
      <c r="BC126" s="202">
        <f t="shared" ref="BC126" si="390">BC125+BB126</f>
        <v>1.0000000000000002</v>
      </c>
      <c r="BD126" s="202">
        <f t="shared" ref="BD126" si="391">BD125+BC126</f>
        <v>1.0000000000000002</v>
      </c>
      <c r="BE126" s="202">
        <f t="shared" ref="BE126" si="392">BE125+BD126</f>
        <v>1.0000000000000002</v>
      </c>
      <c r="BF126" s="202">
        <f t="shared" ref="BF126" si="393">BF125+BE126</f>
        <v>1.0000000000000002</v>
      </c>
      <c r="BG126" s="202">
        <f t="shared" ref="BG126" si="394">BG125+BF126</f>
        <v>1.0000000000000002</v>
      </c>
      <c r="BH126" s="202">
        <f t="shared" ref="BH126" si="395">BH125+BG126</f>
        <v>1.0000000000000002</v>
      </c>
      <c r="BI126" s="202">
        <f t="shared" ref="BI126" si="396">BI125+BH126</f>
        <v>1.0000000000000002</v>
      </c>
    </row>
    <row r="127" spans="1:63" s="140" customFormat="1" ht="10.199999999999999" x14ac:dyDescent="0.25">
      <c r="I127" s="145"/>
      <c r="J127" s="145"/>
      <c r="K127" s="145"/>
      <c r="L127" s="146"/>
      <c r="M127" s="146"/>
      <c r="N127" s="146"/>
      <c r="O127" s="146"/>
      <c r="P127" s="146"/>
      <c r="Q127" s="146"/>
      <c r="R127" s="146"/>
      <c r="S127" s="146"/>
      <c r="T127" s="139"/>
      <c r="U127" s="139"/>
      <c r="V127" s="139"/>
      <c r="W127" s="139"/>
      <c r="X127" s="139"/>
      <c r="Y127" s="139"/>
      <c r="Z127" s="139"/>
      <c r="AA127" s="139"/>
      <c r="AB127" s="139"/>
      <c r="AC127" s="139"/>
      <c r="AD127" s="139"/>
      <c r="AE127" s="139"/>
      <c r="AF127" s="139"/>
      <c r="AG127" s="139"/>
      <c r="AH127" s="139"/>
      <c r="AI127" s="139"/>
      <c r="AJ127" s="139"/>
      <c r="AK127" s="139"/>
      <c r="AL127" s="139"/>
      <c r="AM127" s="139"/>
      <c r="AN127" s="139"/>
      <c r="AO127" s="139"/>
      <c r="AP127" s="139"/>
      <c r="AQ127" s="139"/>
      <c r="AR127" s="139"/>
      <c r="AS127" s="139"/>
      <c r="AT127" s="139"/>
      <c r="AU127" s="139"/>
      <c r="AV127" s="139"/>
      <c r="AW127" s="139"/>
      <c r="AX127" s="139"/>
      <c r="AY127" s="139"/>
      <c r="AZ127" s="139"/>
      <c r="BA127" s="139"/>
      <c r="BB127" s="139"/>
      <c r="BC127" s="139"/>
      <c r="BD127" s="139"/>
      <c r="BE127" s="139"/>
      <c r="BF127" s="139"/>
      <c r="BG127" s="139"/>
      <c r="BH127" s="139"/>
      <c r="BI127" s="139"/>
    </row>
    <row r="128" spans="1:63" s="140" customFormat="1" ht="10.199999999999999" x14ac:dyDescent="0.25">
      <c r="I128" s="145"/>
      <c r="J128" s="145"/>
      <c r="K128" s="145"/>
      <c r="L128" s="146"/>
      <c r="M128" s="146"/>
      <c r="N128" s="146"/>
      <c r="O128" s="146"/>
      <c r="P128" s="146"/>
      <c r="Q128" s="146"/>
      <c r="R128" s="146"/>
      <c r="S128" s="146"/>
      <c r="T128" s="139"/>
      <c r="U128" s="139"/>
      <c r="V128" s="139"/>
      <c r="W128" s="139"/>
      <c r="X128" s="139"/>
      <c r="Y128" s="139"/>
      <c r="Z128" s="139"/>
      <c r="AA128" s="139"/>
      <c r="AB128" s="139"/>
      <c r="AC128" s="139"/>
      <c r="AD128" s="139"/>
      <c r="AE128" s="139"/>
      <c r="AF128" s="139"/>
      <c r="AG128" s="139"/>
      <c r="AH128" s="139"/>
      <c r="AI128" s="139"/>
      <c r="AJ128" s="139"/>
      <c r="AK128" s="139"/>
      <c r="AL128" s="139"/>
      <c r="AM128" s="139"/>
      <c r="AN128" s="139"/>
      <c r="AO128" s="139"/>
      <c r="AP128" s="139"/>
      <c r="AQ128" s="139"/>
      <c r="AR128" s="139"/>
      <c r="AS128" s="139"/>
      <c r="AT128" s="139"/>
      <c r="AU128" s="139"/>
      <c r="AV128" s="139"/>
      <c r="AW128" s="139"/>
      <c r="AX128" s="139"/>
      <c r="AY128" s="139"/>
      <c r="AZ128" s="139"/>
      <c r="BA128" s="139"/>
      <c r="BB128" s="139"/>
      <c r="BC128" s="139"/>
      <c r="BD128" s="139"/>
      <c r="BE128" s="139"/>
      <c r="BF128" s="139"/>
      <c r="BG128" s="139"/>
      <c r="BH128" s="139"/>
      <c r="BI128" s="139"/>
    </row>
    <row r="129" spans="1:63" s="47" customFormat="1" ht="21.75" customHeight="1" x14ac:dyDescent="0.25">
      <c r="A129" s="155" t="s">
        <v>72</v>
      </c>
      <c r="B129" s="203" t="str">
        <f>Empreendimentos!A72</f>
        <v>JARDIM 03</v>
      </c>
      <c r="C129" s="156"/>
      <c r="D129" s="156"/>
      <c r="E129" s="157"/>
      <c r="F129" s="216">
        <f>F130</f>
        <v>85851.926875000005</v>
      </c>
      <c r="G129" s="216">
        <f>G132</f>
        <v>51511.156125000001</v>
      </c>
      <c r="H129" s="213">
        <f>SUM(H130,H132)</f>
        <v>197459431.8125</v>
      </c>
      <c r="I129" s="213">
        <f>SUM(I130,I132)</f>
        <v>399992844.7083441</v>
      </c>
      <c r="J129" s="198">
        <f>SUM(J130,J132)</f>
        <v>1</v>
      </c>
      <c r="K129" s="198">
        <f>SUM(K130,K132)</f>
        <v>1</v>
      </c>
      <c r="L129" s="158"/>
      <c r="M129" s="159"/>
      <c r="N129" s="159"/>
      <c r="O129" s="159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  <c r="AD129" s="160"/>
      <c r="AE129" s="160"/>
      <c r="AF129" s="160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A129" s="161"/>
      <c r="BB129" s="161"/>
      <c r="BC129" s="161"/>
      <c r="BD129" s="161"/>
      <c r="BE129" s="161"/>
      <c r="BF129" s="161"/>
      <c r="BG129" s="161"/>
      <c r="BH129" s="161"/>
      <c r="BI129" s="162"/>
      <c r="BJ129" s="119">
        <f>SUM(L129:BI129)</f>
        <v>0</v>
      </c>
      <c r="BK129" s="33"/>
    </row>
    <row r="130" spans="1:63" ht="21.75" customHeight="1" x14ac:dyDescent="0.25">
      <c r="A130" s="193"/>
      <c r="B130" s="154" t="s">
        <v>228</v>
      </c>
      <c r="C130" s="197" t="str">
        <f>$C$344</f>
        <v>Lote Jardins</v>
      </c>
      <c r="D130" s="188"/>
      <c r="E130" s="189"/>
      <c r="F130" s="190">
        <f>Empreendimentos!H73</f>
        <v>85851.926875000005</v>
      </c>
      <c r="G130" s="190">
        <f>F130</f>
        <v>85851.926875000005</v>
      </c>
      <c r="H130" s="191">
        <f>F130*VLOOKUP(C130,$C$337:$E$351,2,FALSE)</f>
        <v>197459431.8125</v>
      </c>
      <c r="I130" s="192">
        <f>G130*VLOOKUP(C130,$C$337:$E$351,3,FALSE)</f>
        <v>38633367.09375</v>
      </c>
      <c r="J130" s="205">
        <f>H130/$H$135</f>
        <v>1</v>
      </c>
      <c r="K130" s="205">
        <f>I130/$I$140</f>
        <v>9.6585145471588696E-2</v>
      </c>
      <c r="L130" s="181"/>
      <c r="M130" s="182">
        <f>'Cronogramaa Fisico'!E23</f>
        <v>0</v>
      </c>
      <c r="N130" s="182">
        <f>'Cronogramaa Fisico'!F23</f>
        <v>0.3</v>
      </c>
      <c r="O130" s="182">
        <v>0.4</v>
      </c>
      <c r="P130" s="183">
        <v>0.6</v>
      </c>
      <c r="Q130" s="183">
        <f>'Cronogramaa Fisico'!I23</f>
        <v>0</v>
      </c>
      <c r="R130" s="183">
        <f>'Cronogramaa Fisico'!J23</f>
        <v>0</v>
      </c>
      <c r="S130" s="183">
        <f>'Cronogramaa Fisico'!K23</f>
        <v>0</v>
      </c>
      <c r="T130" s="183">
        <f>'Cronogramaa Fisico'!L23</f>
        <v>0</v>
      </c>
      <c r="U130" s="183">
        <f>'Cronogramaa Fisico'!M23</f>
        <v>0</v>
      </c>
      <c r="V130" s="183">
        <f>'Cronogramaa Fisico'!N23</f>
        <v>0</v>
      </c>
      <c r="W130" s="183">
        <f>'Cronogramaa Fisico'!O23</f>
        <v>0</v>
      </c>
      <c r="X130" s="183">
        <f>'Cronogramaa Fisico'!P23</f>
        <v>0</v>
      </c>
      <c r="Y130" s="183">
        <f>'Cronogramaa Fisico'!Q23</f>
        <v>0</v>
      </c>
      <c r="Z130" s="183">
        <f>'Cronogramaa Fisico'!R23</f>
        <v>0</v>
      </c>
      <c r="AA130" s="183">
        <f>'Cronogramaa Fisico'!S23</f>
        <v>0</v>
      </c>
      <c r="AB130" s="183">
        <f>'Cronogramaa Fisico'!T23</f>
        <v>0</v>
      </c>
      <c r="AC130" s="183">
        <f>'Cronogramaa Fisico'!U23</f>
        <v>0</v>
      </c>
      <c r="AD130" s="183">
        <f>'Cronogramaa Fisico'!V23</f>
        <v>0</v>
      </c>
      <c r="AE130" s="183">
        <f>'Cronogramaa Fisico'!W23</f>
        <v>0</v>
      </c>
      <c r="AF130" s="183"/>
      <c r="AG130" s="184"/>
      <c r="AH130" s="184"/>
      <c r="AI130" s="184"/>
      <c r="AJ130" s="184"/>
      <c r="AK130" s="184"/>
      <c r="AL130" s="184"/>
      <c r="AM130" s="184"/>
      <c r="AN130" s="184"/>
      <c r="AO130" s="184"/>
      <c r="AP130" s="184"/>
      <c r="AQ130" s="184"/>
      <c r="AR130" s="184"/>
      <c r="AS130" s="184"/>
      <c r="AT130" s="184"/>
      <c r="AU130" s="184"/>
      <c r="AV130" s="184"/>
      <c r="AW130" s="184"/>
      <c r="AX130" s="184"/>
      <c r="AY130" s="184"/>
      <c r="AZ130" s="184"/>
      <c r="BA130" s="184"/>
      <c r="BB130" s="184"/>
      <c r="BC130" s="184"/>
      <c r="BD130" s="184"/>
      <c r="BE130" s="184"/>
      <c r="BF130" s="184"/>
      <c r="BG130" s="184"/>
      <c r="BH130" s="184"/>
      <c r="BI130" s="185"/>
      <c r="BJ130" s="119"/>
      <c r="BK130" s="11"/>
    </row>
    <row r="131" spans="1:63" ht="9.6" customHeight="1" x14ac:dyDescent="0.25">
      <c r="A131" s="120"/>
      <c r="B131" s="219"/>
      <c r="C131" s="174"/>
      <c r="D131" s="148"/>
      <c r="E131" s="173"/>
      <c r="F131" s="149"/>
      <c r="G131" s="149"/>
      <c r="H131" s="179"/>
      <c r="I131" s="180"/>
      <c r="J131" s="204"/>
      <c r="K131" s="204"/>
      <c r="L131" s="123"/>
      <c r="M131" s="124"/>
      <c r="N131" s="124"/>
      <c r="O131" s="124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6"/>
      <c r="AH131" s="126"/>
      <c r="AI131" s="126"/>
      <c r="AJ131" s="126"/>
      <c r="AK131" s="126"/>
      <c r="AL131" s="126"/>
      <c r="AM131" s="126"/>
      <c r="AN131" s="126"/>
      <c r="AO131" s="126"/>
      <c r="AP131" s="126"/>
      <c r="AQ131" s="126"/>
      <c r="AR131" s="126"/>
      <c r="AS131" s="126"/>
      <c r="AT131" s="126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7"/>
      <c r="BJ131" s="119"/>
    </row>
    <row r="132" spans="1:63" ht="21.75" customHeight="1" x14ac:dyDescent="0.25">
      <c r="A132" s="193"/>
      <c r="B132" s="154" t="s">
        <v>229</v>
      </c>
      <c r="C132" s="197" t="str">
        <f>$C$345</f>
        <v>Residências</v>
      </c>
      <c r="D132" s="188">
        <f>Empreendimentos!J106</f>
        <v>0</v>
      </c>
      <c r="E132" s="189">
        <f>Empreendimentos!K106</f>
        <v>0</v>
      </c>
      <c r="F132" s="190"/>
      <c r="G132" s="190">
        <f>G130*0.6</f>
        <v>51511.156125000001</v>
      </c>
      <c r="H132" s="191">
        <f>F132*VLOOKUP(C132,$C$337:$E$351,2,FALSE)</f>
        <v>0</v>
      </c>
      <c r="I132" s="192">
        <f>G132*VLOOKUP(C132,$C$337:$E$351,3,FALSE)</f>
        <v>361359477.6145941</v>
      </c>
      <c r="J132" s="205">
        <f>H132/$H$135</f>
        <v>0</v>
      </c>
      <c r="K132" s="205">
        <f>I132/$I$140</f>
        <v>0.9034148545284113</v>
      </c>
      <c r="L132" s="181"/>
      <c r="M132" s="182"/>
      <c r="N132" s="182"/>
      <c r="O132" s="182"/>
      <c r="P132" s="183"/>
      <c r="Q132" s="124">
        <v>0.05</v>
      </c>
      <c r="R132" s="128">
        <v>0.06</v>
      </c>
      <c r="S132" s="128">
        <v>0.08</v>
      </c>
      <c r="T132" s="128">
        <v>0.09</v>
      </c>
      <c r="U132" s="129">
        <v>0.1</v>
      </c>
      <c r="V132" s="129">
        <v>0.12</v>
      </c>
      <c r="W132" s="129">
        <v>0.1</v>
      </c>
      <c r="X132" s="129">
        <v>0.08</v>
      </c>
      <c r="Y132" s="129">
        <v>0.06</v>
      </c>
      <c r="Z132" s="129">
        <v>0.05</v>
      </c>
      <c r="AA132" s="129">
        <v>0.05</v>
      </c>
      <c r="AB132" s="129">
        <v>0.04</v>
      </c>
      <c r="AC132" s="129">
        <v>0.04</v>
      </c>
      <c r="AD132" s="129">
        <v>0.03</v>
      </c>
      <c r="AE132" s="129">
        <v>0.03</v>
      </c>
      <c r="AF132" s="129">
        <v>0.02</v>
      </c>
      <c r="AG132" s="184"/>
      <c r="AH132" s="184"/>
      <c r="AI132" s="184"/>
      <c r="AJ132" s="184"/>
      <c r="AK132" s="184"/>
      <c r="AL132" s="184"/>
      <c r="AM132" s="184"/>
      <c r="AN132" s="184"/>
      <c r="AO132" s="184"/>
      <c r="AP132" s="184"/>
      <c r="AQ132" s="184"/>
      <c r="AR132" s="184"/>
      <c r="AS132" s="184"/>
      <c r="AT132" s="184"/>
      <c r="AU132" s="184"/>
      <c r="AV132" s="184"/>
      <c r="AW132" s="184"/>
      <c r="AX132" s="184"/>
      <c r="AY132" s="184"/>
      <c r="AZ132" s="184"/>
      <c r="BA132" s="184"/>
      <c r="BB132" s="184"/>
      <c r="BC132" s="184"/>
      <c r="BD132" s="184"/>
      <c r="BE132" s="184"/>
      <c r="BF132" s="184"/>
      <c r="BG132" s="184"/>
      <c r="BH132" s="184"/>
      <c r="BI132" s="185"/>
      <c r="BJ132" s="119"/>
      <c r="BK132" s="11"/>
    </row>
    <row r="133" spans="1:63" s="13" customFormat="1" ht="9.6" customHeight="1" x14ac:dyDescent="0.25">
      <c r="A133" s="130"/>
      <c r="B133" s="131"/>
      <c r="C133" s="131"/>
      <c r="D133" s="131"/>
      <c r="E133" s="131"/>
      <c r="F133" s="131"/>
      <c r="G133" s="131"/>
      <c r="H133" s="131"/>
      <c r="I133" s="132"/>
      <c r="J133" s="207">
        <f>H133/$H$42</f>
        <v>0</v>
      </c>
      <c r="K133" s="207">
        <f>I133/$H$42</f>
        <v>0</v>
      </c>
      <c r="L133" s="133"/>
      <c r="M133" s="134"/>
      <c r="N133" s="134"/>
      <c r="O133" s="134"/>
      <c r="P133" s="135"/>
      <c r="Q133" s="135"/>
      <c r="R133" s="135"/>
      <c r="S133" s="135"/>
      <c r="T133" s="136"/>
      <c r="U133" s="136"/>
      <c r="V133" s="136"/>
      <c r="W133" s="136"/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  <c r="BD133" s="137"/>
      <c r="BE133" s="137"/>
      <c r="BF133" s="137"/>
      <c r="BG133" s="137"/>
      <c r="BH133" s="137"/>
      <c r="BI133" s="138"/>
      <c r="BJ133" s="119">
        <f>SUM(K133:AI133)</f>
        <v>0</v>
      </c>
    </row>
    <row r="134" spans="1:63" s="13" customFormat="1" ht="7.8" customHeight="1" x14ac:dyDescent="0.25">
      <c r="A134" s="139"/>
      <c r="B134" s="140"/>
      <c r="C134" s="140"/>
      <c r="D134" s="140"/>
      <c r="E134" s="140"/>
      <c r="F134" s="140"/>
      <c r="G134" s="140"/>
      <c r="H134" s="140"/>
      <c r="I134" s="141"/>
      <c r="J134" s="140"/>
      <c r="K134" s="140"/>
      <c r="L134" s="139"/>
      <c r="M134" s="139"/>
      <c r="N134" s="139"/>
      <c r="O134" s="139"/>
      <c r="P134" s="139"/>
      <c r="Q134" s="139"/>
      <c r="R134" s="139"/>
      <c r="S134" s="139"/>
      <c r="T134" s="142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  <c r="AO134" s="142"/>
      <c r="AP134" s="142"/>
      <c r="AQ134" s="142"/>
      <c r="AR134" s="142"/>
      <c r="AS134" s="142"/>
      <c r="AT134" s="142"/>
      <c r="AU134" s="142"/>
      <c r="AV134" s="142"/>
      <c r="AW134" s="142"/>
      <c r="AX134" s="142"/>
      <c r="AY134" s="142"/>
      <c r="AZ134" s="142"/>
      <c r="BA134" s="142"/>
      <c r="BB134" s="142"/>
      <c r="BC134" s="142"/>
      <c r="BD134" s="142"/>
      <c r="BE134" s="142"/>
      <c r="BF134" s="142"/>
      <c r="BG134" s="142"/>
      <c r="BH134" s="142"/>
      <c r="BI134" s="142"/>
      <c r="BJ134" s="143"/>
    </row>
    <row r="135" spans="1:63" s="144" customFormat="1" ht="18" customHeight="1" x14ac:dyDescent="0.25">
      <c r="A135" s="379" t="s">
        <v>223</v>
      </c>
      <c r="B135" s="380"/>
      <c r="C135" s="385" t="s">
        <v>168</v>
      </c>
      <c r="D135" s="386"/>
      <c r="E135" s="386"/>
      <c r="F135" s="386"/>
      <c r="G135" s="387"/>
      <c r="H135" s="388">
        <f>H129</f>
        <v>197459431.8125</v>
      </c>
      <c r="I135" s="388"/>
      <c r="J135" s="389">
        <f>J129</f>
        <v>1</v>
      </c>
      <c r="K135" s="389"/>
      <c r="L135" s="163">
        <f>SUMPRODUCT($H130:$H133,L130:L133)</f>
        <v>0</v>
      </c>
      <c r="M135" s="163">
        <f t="shared" ref="M135" si="397">SUMPRODUCT($H130:$H133,M130:M133)</f>
        <v>0</v>
      </c>
      <c r="N135" s="163">
        <f t="shared" ref="N135:BI135" si="398">SUMPRODUCT($H130:$H133,N130:N133)</f>
        <v>59237829.543749996</v>
      </c>
      <c r="O135" s="163">
        <f t="shared" si="398"/>
        <v>78983772.725000009</v>
      </c>
      <c r="P135" s="163">
        <f t="shared" si="398"/>
        <v>118475659.08749999</v>
      </c>
      <c r="Q135" s="163">
        <f t="shared" si="398"/>
        <v>0</v>
      </c>
      <c r="R135" s="163">
        <f t="shared" si="398"/>
        <v>0</v>
      </c>
      <c r="S135" s="163">
        <f t="shared" si="398"/>
        <v>0</v>
      </c>
      <c r="T135" s="163">
        <f t="shared" si="398"/>
        <v>0</v>
      </c>
      <c r="U135" s="163">
        <f t="shared" si="398"/>
        <v>0</v>
      </c>
      <c r="V135" s="163">
        <f t="shared" si="398"/>
        <v>0</v>
      </c>
      <c r="W135" s="163">
        <f t="shared" si="398"/>
        <v>0</v>
      </c>
      <c r="X135" s="163">
        <f t="shared" si="398"/>
        <v>0</v>
      </c>
      <c r="Y135" s="163">
        <f t="shared" si="398"/>
        <v>0</v>
      </c>
      <c r="Z135" s="163">
        <f t="shared" si="398"/>
        <v>0</v>
      </c>
      <c r="AA135" s="163">
        <f t="shared" si="398"/>
        <v>0</v>
      </c>
      <c r="AB135" s="163">
        <f t="shared" si="398"/>
        <v>0</v>
      </c>
      <c r="AC135" s="163">
        <f t="shared" si="398"/>
        <v>0</v>
      </c>
      <c r="AD135" s="163">
        <f t="shared" si="398"/>
        <v>0</v>
      </c>
      <c r="AE135" s="163">
        <f t="shared" si="398"/>
        <v>0</v>
      </c>
      <c r="AF135" s="163">
        <f t="shared" si="398"/>
        <v>0</v>
      </c>
      <c r="AG135" s="163">
        <f t="shared" si="398"/>
        <v>0</v>
      </c>
      <c r="AH135" s="163">
        <f t="shared" si="398"/>
        <v>0</v>
      </c>
      <c r="AI135" s="163">
        <f t="shared" si="398"/>
        <v>0</v>
      </c>
      <c r="AJ135" s="163">
        <f t="shared" si="398"/>
        <v>0</v>
      </c>
      <c r="AK135" s="163">
        <f t="shared" si="398"/>
        <v>0</v>
      </c>
      <c r="AL135" s="163">
        <f t="shared" si="398"/>
        <v>0</v>
      </c>
      <c r="AM135" s="163">
        <f t="shared" si="398"/>
        <v>0</v>
      </c>
      <c r="AN135" s="163">
        <f t="shared" si="398"/>
        <v>0</v>
      </c>
      <c r="AO135" s="163">
        <f t="shared" si="398"/>
        <v>0</v>
      </c>
      <c r="AP135" s="163">
        <f t="shared" si="398"/>
        <v>0</v>
      </c>
      <c r="AQ135" s="163">
        <f t="shared" si="398"/>
        <v>0</v>
      </c>
      <c r="AR135" s="163">
        <f t="shared" si="398"/>
        <v>0</v>
      </c>
      <c r="AS135" s="163">
        <f t="shared" si="398"/>
        <v>0</v>
      </c>
      <c r="AT135" s="163">
        <f t="shared" si="398"/>
        <v>0</v>
      </c>
      <c r="AU135" s="163">
        <f t="shared" si="398"/>
        <v>0</v>
      </c>
      <c r="AV135" s="163">
        <f t="shared" si="398"/>
        <v>0</v>
      </c>
      <c r="AW135" s="163">
        <f t="shared" si="398"/>
        <v>0</v>
      </c>
      <c r="AX135" s="163">
        <f t="shared" si="398"/>
        <v>0</v>
      </c>
      <c r="AY135" s="163">
        <f t="shared" si="398"/>
        <v>0</v>
      </c>
      <c r="AZ135" s="163">
        <f t="shared" si="398"/>
        <v>0</v>
      </c>
      <c r="BA135" s="163">
        <f t="shared" si="398"/>
        <v>0</v>
      </c>
      <c r="BB135" s="163">
        <f t="shared" si="398"/>
        <v>0</v>
      </c>
      <c r="BC135" s="163">
        <f t="shared" si="398"/>
        <v>0</v>
      </c>
      <c r="BD135" s="163">
        <f t="shared" si="398"/>
        <v>0</v>
      </c>
      <c r="BE135" s="163">
        <f t="shared" si="398"/>
        <v>0</v>
      </c>
      <c r="BF135" s="163">
        <f t="shared" si="398"/>
        <v>0</v>
      </c>
      <c r="BG135" s="163">
        <f t="shared" si="398"/>
        <v>0</v>
      </c>
      <c r="BH135" s="163">
        <f t="shared" si="398"/>
        <v>0</v>
      </c>
      <c r="BI135" s="163">
        <f t="shared" si="398"/>
        <v>0</v>
      </c>
    </row>
    <row r="136" spans="1:63" s="144" customFormat="1" ht="18" customHeight="1" x14ac:dyDescent="0.25">
      <c r="A136" s="381"/>
      <c r="B136" s="382"/>
      <c r="C136" s="385" t="s">
        <v>169</v>
      </c>
      <c r="D136" s="386"/>
      <c r="E136" s="386"/>
      <c r="F136" s="386"/>
      <c r="G136" s="387"/>
      <c r="H136" s="388"/>
      <c r="I136" s="388"/>
      <c r="J136" s="389"/>
      <c r="K136" s="389"/>
      <c r="L136" s="164">
        <f>L135</f>
        <v>0</v>
      </c>
      <c r="M136" s="164">
        <f>M135+L136</f>
        <v>0</v>
      </c>
      <c r="N136" s="164">
        <f t="shared" ref="N136:BI136" si="399">N135+M136</f>
        <v>59237829.543749996</v>
      </c>
      <c r="O136" s="164">
        <f t="shared" si="399"/>
        <v>138221602.26875001</v>
      </c>
      <c r="P136" s="164">
        <f t="shared" si="399"/>
        <v>256697261.35624999</v>
      </c>
      <c r="Q136" s="164">
        <f t="shared" si="399"/>
        <v>256697261.35624999</v>
      </c>
      <c r="R136" s="164">
        <f t="shared" si="399"/>
        <v>256697261.35624999</v>
      </c>
      <c r="S136" s="164">
        <f t="shared" si="399"/>
        <v>256697261.35624999</v>
      </c>
      <c r="T136" s="164">
        <f t="shared" si="399"/>
        <v>256697261.35624999</v>
      </c>
      <c r="U136" s="164">
        <f t="shared" si="399"/>
        <v>256697261.35624999</v>
      </c>
      <c r="V136" s="164">
        <f t="shared" si="399"/>
        <v>256697261.35624999</v>
      </c>
      <c r="W136" s="164">
        <f t="shared" si="399"/>
        <v>256697261.35624999</v>
      </c>
      <c r="X136" s="164">
        <f t="shared" si="399"/>
        <v>256697261.35624999</v>
      </c>
      <c r="Y136" s="164">
        <f t="shared" si="399"/>
        <v>256697261.35624999</v>
      </c>
      <c r="Z136" s="164">
        <f t="shared" si="399"/>
        <v>256697261.35624999</v>
      </c>
      <c r="AA136" s="164">
        <f t="shared" si="399"/>
        <v>256697261.35624999</v>
      </c>
      <c r="AB136" s="164">
        <f t="shared" si="399"/>
        <v>256697261.35624999</v>
      </c>
      <c r="AC136" s="164">
        <f t="shared" si="399"/>
        <v>256697261.35624999</v>
      </c>
      <c r="AD136" s="164">
        <f t="shared" si="399"/>
        <v>256697261.35624999</v>
      </c>
      <c r="AE136" s="164">
        <f t="shared" si="399"/>
        <v>256697261.35624999</v>
      </c>
      <c r="AF136" s="164">
        <f t="shared" si="399"/>
        <v>256697261.35624999</v>
      </c>
      <c r="AG136" s="164">
        <f t="shared" si="399"/>
        <v>256697261.35624999</v>
      </c>
      <c r="AH136" s="164">
        <f t="shared" si="399"/>
        <v>256697261.35624999</v>
      </c>
      <c r="AI136" s="164">
        <f t="shared" si="399"/>
        <v>256697261.35624999</v>
      </c>
      <c r="AJ136" s="164">
        <f t="shared" si="399"/>
        <v>256697261.35624999</v>
      </c>
      <c r="AK136" s="164">
        <f t="shared" si="399"/>
        <v>256697261.35624999</v>
      </c>
      <c r="AL136" s="164">
        <f t="shared" si="399"/>
        <v>256697261.35624999</v>
      </c>
      <c r="AM136" s="164">
        <f t="shared" si="399"/>
        <v>256697261.35624999</v>
      </c>
      <c r="AN136" s="164">
        <f t="shared" si="399"/>
        <v>256697261.35624999</v>
      </c>
      <c r="AO136" s="164">
        <f t="shared" si="399"/>
        <v>256697261.35624999</v>
      </c>
      <c r="AP136" s="164">
        <f t="shared" si="399"/>
        <v>256697261.35624999</v>
      </c>
      <c r="AQ136" s="164">
        <f t="shared" si="399"/>
        <v>256697261.35624999</v>
      </c>
      <c r="AR136" s="164">
        <f t="shared" si="399"/>
        <v>256697261.35624999</v>
      </c>
      <c r="AS136" s="164">
        <f t="shared" si="399"/>
        <v>256697261.35624999</v>
      </c>
      <c r="AT136" s="164">
        <f t="shared" si="399"/>
        <v>256697261.35624999</v>
      </c>
      <c r="AU136" s="164">
        <f t="shared" si="399"/>
        <v>256697261.35624999</v>
      </c>
      <c r="AV136" s="164">
        <f t="shared" si="399"/>
        <v>256697261.35624999</v>
      </c>
      <c r="AW136" s="164">
        <f t="shared" si="399"/>
        <v>256697261.35624999</v>
      </c>
      <c r="AX136" s="164">
        <f t="shared" si="399"/>
        <v>256697261.35624999</v>
      </c>
      <c r="AY136" s="164">
        <f t="shared" si="399"/>
        <v>256697261.35624999</v>
      </c>
      <c r="AZ136" s="164">
        <f t="shared" si="399"/>
        <v>256697261.35624999</v>
      </c>
      <c r="BA136" s="164">
        <f t="shared" si="399"/>
        <v>256697261.35624999</v>
      </c>
      <c r="BB136" s="164">
        <f t="shared" si="399"/>
        <v>256697261.35624999</v>
      </c>
      <c r="BC136" s="164">
        <f t="shared" si="399"/>
        <v>256697261.35624999</v>
      </c>
      <c r="BD136" s="164">
        <f t="shared" si="399"/>
        <v>256697261.35624999</v>
      </c>
      <c r="BE136" s="164">
        <f t="shared" si="399"/>
        <v>256697261.35624999</v>
      </c>
      <c r="BF136" s="164">
        <f t="shared" si="399"/>
        <v>256697261.35624999</v>
      </c>
      <c r="BG136" s="164">
        <f t="shared" si="399"/>
        <v>256697261.35624999</v>
      </c>
      <c r="BH136" s="164">
        <f t="shared" si="399"/>
        <v>256697261.35624999</v>
      </c>
      <c r="BI136" s="164">
        <f t="shared" si="399"/>
        <v>256697261.35624999</v>
      </c>
    </row>
    <row r="137" spans="1:63" s="144" customFormat="1" ht="18" customHeight="1" x14ac:dyDescent="0.25">
      <c r="A137" s="381"/>
      <c r="B137" s="382"/>
      <c r="C137" s="385" t="s">
        <v>170</v>
      </c>
      <c r="D137" s="386"/>
      <c r="E137" s="386"/>
      <c r="F137" s="386"/>
      <c r="G137" s="387"/>
      <c r="H137" s="388"/>
      <c r="I137" s="388"/>
      <c r="J137" s="389"/>
      <c r="K137" s="389"/>
      <c r="L137" s="165">
        <f>L135/$H$135</f>
        <v>0</v>
      </c>
      <c r="M137" s="165">
        <f t="shared" ref="M137" si="400">M135/$H$135</f>
        <v>0</v>
      </c>
      <c r="N137" s="165">
        <f t="shared" ref="N137:BI137" si="401">N135/$H$135</f>
        <v>0.3</v>
      </c>
      <c r="O137" s="165">
        <f t="shared" si="401"/>
        <v>0.4</v>
      </c>
      <c r="P137" s="165">
        <f t="shared" si="401"/>
        <v>0.6</v>
      </c>
      <c r="Q137" s="165">
        <f t="shared" si="401"/>
        <v>0</v>
      </c>
      <c r="R137" s="165">
        <f t="shared" si="401"/>
        <v>0</v>
      </c>
      <c r="S137" s="165">
        <f t="shared" si="401"/>
        <v>0</v>
      </c>
      <c r="T137" s="165">
        <f t="shared" si="401"/>
        <v>0</v>
      </c>
      <c r="U137" s="165">
        <f t="shared" si="401"/>
        <v>0</v>
      </c>
      <c r="V137" s="165">
        <f t="shared" si="401"/>
        <v>0</v>
      </c>
      <c r="W137" s="165">
        <f t="shared" si="401"/>
        <v>0</v>
      </c>
      <c r="X137" s="165">
        <f t="shared" si="401"/>
        <v>0</v>
      </c>
      <c r="Y137" s="165">
        <f t="shared" si="401"/>
        <v>0</v>
      </c>
      <c r="Z137" s="165">
        <f t="shared" si="401"/>
        <v>0</v>
      </c>
      <c r="AA137" s="165">
        <f t="shared" si="401"/>
        <v>0</v>
      </c>
      <c r="AB137" s="165">
        <f t="shared" si="401"/>
        <v>0</v>
      </c>
      <c r="AC137" s="165">
        <f t="shared" si="401"/>
        <v>0</v>
      </c>
      <c r="AD137" s="165">
        <f t="shared" si="401"/>
        <v>0</v>
      </c>
      <c r="AE137" s="165">
        <f t="shared" si="401"/>
        <v>0</v>
      </c>
      <c r="AF137" s="165">
        <f t="shared" si="401"/>
        <v>0</v>
      </c>
      <c r="AG137" s="165">
        <f t="shared" si="401"/>
        <v>0</v>
      </c>
      <c r="AH137" s="165">
        <f t="shared" si="401"/>
        <v>0</v>
      </c>
      <c r="AI137" s="165">
        <f t="shared" si="401"/>
        <v>0</v>
      </c>
      <c r="AJ137" s="165">
        <f t="shared" si="401"/>
        <v>0</v>
      </c>
      <c r="AK137" s="165">
        <f t="shared" si="401"/>
        <v>0</v>
      </c>
      <c r="AL137" s="165">
        <f t="shared" si="401"/>
        <v>0</v>
      </c>
      <c r="AM137" s="165">
        <f t="shared" si="401"/>
        <v>0</v>
      </c>
      <c r="AN137" s="165">
        <f t="shared" si="401"/>
        <v>0</v>
      </c>
      <c r="AO137" s="165">
        <f t="shared" si="401"/>
        <v>0</v>
      </c>
      <c r="AP137" s="165">
        <f t="shared" si="401"/>
        <v>0</v>
      </c>
      <c r="AQ137" s="165">
        <f t="shared" si="401"/>
        <v>0</v>
      </c>
      <c r="AR137" s="165">
        <f t="shared" si="401"/>
        <v>0</v>
      </c>
      <c r="AS137" s="165">
        <f t="shared" si="401"/>
        <v>0</v>
      </c>
      <c r="AT137" s="165">
        <f t="shared" si="401"/>
        <v>0</v>
      </c>
      <c r="AU137" s="165">
        <f t="shared" si="401"/>
        <v>0</v>
      </c>
      <c r="AV137" s="165">
        <f t="shared" si="401"/>
        <v>0</v>
      </c>
      <c r="AW137" s="165">
        <f t="shared" si="401"/>
        <v>0</v>
      </c>
      <c r="AX137" s="165">
        <f t="shared" si="401"/>
        <v>0</v>
      </c>
      <c r="AY137" s="165">
        <f t="shared" si="401"/>
        <v>0</v>
      </c>
      <c r="AZ137" s="165">
        <f t="shared" si="401"/>
        <v>0</v>
      </c>
      <c r="BA137" s="165">
        <f t="shared" si="401"/>
        <v>0</v>
      </c>
      <c r="BB137" s="165">
        <f t="shared" si="401"/>
        <v>0</v>
      </c>
      <c r="BC137" s="165">
        <f t="shared" si="401"/>
        <v>0</v>
      </c>
      <c r="BD137" s="165">
        <f t="shared" si="401"/>
        <v>0</v>
      </c>
      <c r="BE137" s="165">
        <f t="shared" si="401"/>
        <v>0</v>
      </c>
      <c r="BF137" s="165">
        <f t="shared" si="401"/>
        <v>0</v>
      </c>
      <c r="BG137" s="165">
        <f t="shared" si="401"/>
        <v>0</v>
      </c>
      <c r="BH137" s="165">
        <f t="shared" si="401"/>
        <v>0</v>
      </c>
      <c r="BI137" s="165">
        <f t="shared" si="401"/>
        <v>0</v>
      </c>
    </row>
    <row r="138" spans="1:63" s="144" customFormat="1" ht="18" customHeight="1" x14ac:dyDescent="0.25">
      <c r="A138" s="383"/>
      <c r="B138" s="384"/>
      <c r="C138" s="385" t="s">
        <v>171</v>
      </c>
      <c r="D138" s="386"/>
      <c r="E138" s="386"/>
      <c r="F138" s="386"/>
      <c r="G138" s="387"/>
      <c r="H138" s="388"/>
      <c r="I138" s="388"/>
      <c r="J138" s="389"/>
      <c r="K138" s="389"/>
      <c r="L138" s="165">
        <f>L137</f>
        <v>0</v>
      </c>
      <c r="M138" s="165">
        <f>M137+L138</f>
        <v>0</v>
      </c>
      <c r="N138" s="165">
        <f t="shared" ref="N138:BI138" si="402">N137+M138</f>
        <v>0.3</v>
      </c>
      <c r="O138" s="165">
        <f t="shared" si="402"/>
        <v>0.7</v>
      </c>
      <c r="P138" s="165">
        <f t="shared" si="402"/>
        <v>1.2999999999999998</v>
      </c>
      <c r="Q138" s="165">
        <f t="shared" si="402"/>
        <v>1.2999999999999998</v>
      </c>
      <c r="R138" s="165">
        <f t="shared" si="402"/>
        <v>1.2999999999999998</v>
      </c>
      <c r="S138" s="165">
        <f t="shared" si="402"/>
        <v>1.2999999999999998</v>
      </c>
      <c r="T138" s="165">
        <f t="shared" si="402"/>
        <v>1.2999999999999998</v>
      </c>
      <c r="U138" s="165">
        <f t="shared" si="402"/>
        <v>1.2999999999999998</v>
      </c>
      <c r="V138" s="165">
        <f t="shared" si="402"/>
        <v>1.2999999999999998</v>
      </c>
      <c r="W138" s="165">
        <f t="shared" si="402"/>
        <v>1.2999999999999998</v>
      </c>
      <c r="X138" s="165">
        <f t="shared" si="402"/>
        <v>1.2999999999999998</v>
      </c>
      <c r="Y138" s="165">
        <f t="shared" si="402"/>
        <v>1.2999999999999998</v>
      </c>
      <c r="Z138" s="165">
        <f t="shared" si="402"/>
        <v>1.2999999999999998</v>
      </c>
      <c r="AA138" s="165">
        <f t="shared" si="402"/>
        <v>1.2999999999999998</v>
      </c>
      <c r="AB138" s="165">
        <f t="shared" si="402"/>
        <v>1.2999999999999998</v>
      </c>
      <c r="AC138" s="165">
        <f t="shared" si="402"/>
        <v>1.2999999999999998</v>
      </c>
      <c r="AD138" s="165">
        <f t="shared" si="402"/>
        <v>1.2999999999999998</v>
      </c>
      <c r="AE138" s="165">
        <f t="shared" si="402"/>
        <v>1.2999999999999998</v>
      </c>
      <c r="AF138" s="165">
        <f t="shared" si="402"/>
        <v>1.2999999999999998</v>
      </c>
      <c r="AG138" s="165">
        <f t="shared" si="402"/>
        <v>1.2999999999999998</v>
      </c>
      <c r="AH138" s="165">
        <f t="shared" si="402"/>
        <v>1.2999999999999998</v>
      </c>
      <c r="AI138" s="165">
        <f t="shared" si="402"/>
        <v>1.2999999999999998</v>
      </c>
      <c r="AJ138" s="165">
        <f t="shared" si="402"/>
        <v>1.2999999999999998</v>
      </c>
      <c r="AK138" s="165">
        <f t="shared" si="402"/>
        <v>1.2999999999999998</v>
      </c>
      <c r="AL138" s="165">
        <f t="shared" si="402"/>
        <v>1.2999999999999998</v>
      </c>
      <c r="AM138" s="165">
        <f t="shared" si="402"/>
        <v>1.2999999999999998</v>
      </c>
      <c r="AN138" s="165">
        <f t="shared" si="402"/>
        <v>1.2999999999999998</v>
      </c>
      <c r="AO138" s="165">
        <f t="shared" si="402"/>
        <v>1.2999999999999998</v>
      </c>
      <c r="AP138" s="165">
        <f t="shared" si="402"/>
        <v>1.2999999999999998</v>
      </c>
      <c r="AQ138" s="165">
        <f t="shared" si="402"/>
        <v>1.2999999999999998</v>
      </c>
      <c r="AR138" s="165">
        <f t="shared" si="402"/>
        <v>1.2999999999999998</v>
      </c>
      <c r="AS138" s="165">
        <f t="shared" si="402"/>
        <v>1.2999999999999998</v>
      </c>
      <c r="AT138" s="165">
        <f t="shared" si="402"/>
        <v>1.2999999999999998</v>
      </c>
      <c r="AU138" s="165">
        <f t="shared" si="402"/>
        <v>1.2999999999999998</v>
      </c>
      <c r="AV138" s="165">
        <f t="shared" si="402"/>
        <v>1.2999999999999998</v>
      </c>
      <c r="AW138" s="165">
        <f t="shared" si="402"/>
        <v>1.2999999999999998</v>
      </c>
      <c r="AX138" s="165">
        <f t="shared" si="402"/>
        <v>1.2999999999999998</v>
      </c>
      <c r="AY138" s="165">
        <f t="shared" si="402"/>
        <v>1.2999999999999998</v>
      </c>
      <c r="AZ138" s="165">
        <f t="shared" si="402"/>
        <v>1.2999999999999998</v>
      </c>
      <c r="BA138" s="165">
        <f t="shared" si="402"/>
        <v>1.2999999999999998</v>
      </c>
      <c r="BB138" s="165">
        <f t="shared" si="402"/>
        <v>1.2999999999999998</v>
      </c>
      <c r="BC138" s="165">
        <f t="shared" si="402"/>
        <v>1.2999999999999998</v>
      </c>
      <c r="BD138" s="165">
        <f t="shared" si="402"/>
        <v>1.2999999999999998</v>
      </c>
      <c r="BE138" s="165">
        <f t="shared" si="402"/>
        <v>1.2999999999999998</v>
      </c>
      <c r="BF138" s="165">
        <f t="shared" si="402"/>
        <v>1.2999999999999998</v>
      </c>
      <c r="BG138" s="165">
        <f t="shared" si="402"/>
        <v>1.2999999999999998</v>
      </c>
      <c r="BH138" s="165">
        <f t="shared" si="402"/>
        <v>1.2999999999999998</v>
      </c>
      <c r="BI138" s="165">
        <f t="shared" si="402"/>
        <v>1.2999999999999998</v>
      </c>
    </row>
    <row r="139" spans="1:63" s="140" customFormat="1" ht="10.199999999999999" x14ac:dyDescent="0.25">
      <c r="I139" s="145"/>
      <c r="J139" s="145"/>
      <c r="K139" s="145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  <c r="AE139" s="146"/>
      <c r="AF139" s="146"/>
      <c r="AG139" s="146"/>
      <c r="AH139" s="146"/>
      <c r="AI139" s="146"/>
      <c r="AJ139" s="146"/>
      <c r="AK139" s="146"/>
      <c r="AL139" s="146"/>
      <c r="AM139" s="146"/>
      <c r="AN139" s="146"/>
      <c r="AO139" s="146"/>
      <c r="AP139" s="146"/>
      <c r="AQ139" s="146"/>
      <c r="AR139" s="146"/>
      <c r="AS139" s="146"/>
      <c r="AT139" s="146"/>
      <c r="AU139" s="146"/>
      <c r="AV139" s="146"/>
      <c r="AW139" s="146"/>
      <c r="AX139" s="146"/>
      <c r="AY139" s="146"/>
      <c r="AZ139" s="146"/>
      <c r="BA139" s="146"/>
      <c r="BB139" s="146"/>
      <c r="BC139" s="146"/>
      <c r="BD139" s="146"/>
      <c r="BE139" s="146"/>
      <c r="BF139" s="146"/>
      <c r="BG139" s="146"/>
      <c r="BH139" s="146"/>
      <c r="BI139" s="146"/>
    </row>
    <row r="140" spans="1:63" s="144" customFormat="1" ht="18" customHeight="1" x14ac:dyDescent="0.25">
      <c r="A140" s="368" t="s">
        <v>224</v>
      </c>
      <c r="B140" s="369"/>
      <c r="C140" s="374" t="s">
        <v>168</v>
      </c>
      <c r="D140" s="375"/>
      <c r="E140" s="375"/>
      <c r="F140" s="375"/>
      <c r="G140" s="376"/>
      <c r="H140" s="377"/>
      <c r="I140" s="377">
        <f>I129</f>
        <v>399992844.7083441</v>
      </c>
      <c r="J140" s="378"/>
      <c r="K140" s="378">
        <f>K129</f>
        <v>1</v>
      </c>
      <c r="L140" s="200">
        <f>SUMPRODUCT($I130:$I133,L130:L133)</f>
        <v>0</v>
      </c>
      <c r="M140" s="200">
        <f t="shared" ref="M140" si="403">SUMPRODUCT($I130:$I133,M130:M133)</f>
        <v>0</v>
      </c>
      <c r="N140" s="200">
        <f t="shared" ref="N140:BI140" si="404">SUMPRODUCT($I130:$I133,N130:N133)</f>
        <v>11590010.128124999</v>
      </c>
      <c r="O140" s="200">
        <f t="shared" si="404"/>
        <v>15453346.8375</v>
      </c>
      <c r="P140" s="200">
        <f t="shared" si="404"/>
        <v>23180020.256249998</v>
      </c>
      <c r="Q140" s="200">
        <f t="shared" si="404"/>
        <v>18067973.880729705</v>
      </c>
      <c r="R140" s="200">
        <f t="shared" si="404"/>
        <v>21681568.656875644</v>
      </c>
      <c r="S140" s="200">
        <f t="shared" si="404"/>
        <v>28908758.209167529</v>
      </c>
      <c r="T140" s="200">
        <f t="shared" si="404"/>
        <v>32522352.985313468</v>
      </c>
      <c r="U140" s="200">
        <f t="shared" si="404"/>
        <v>36135947.76145941</v>
      </c>
      <c r="V140" s="200">
        <f t="shared" si="404"/>
        <v>43363137.313751288</v>
      </c>
      <c r="W140" s="200">
        <f t="shared" si="404"/>
        <v>36135947.76145941</v>
      </c>
      <c r="X140" s="200">
        <f t="shared" si="404"/>
        <v>28908758.209167529</v>
      </c>
      <c r="Y140" s="200">
        <f t="shared" si="404"/>
        <v>21681568.656875644</v>
      </c>
      <c r="Z140" s="200">
        <f t="shared" si="404"/>
        <v>18067973.880729705</v>
      </c>
      <c r="AA140" s="200">
        <f t="shared" si="404"/>
        <v>18067973.880729705</v>
      </c>
      <c r="AB140" s="200">
        <f t="shared" si="404"/>
        <v>14454379.104583764</v>
      </c>
      <c r="AC140" s="200">
        <f t="shared" si="404"/>
        <v>14454379.104583764</v>
      </c>
      <c r="AD140" s="200">
        <f t="shared" si="404"/>
        <v>10840784.328437822</v>
      </c>
      <c r="AE140" s="200">
        <f t="shared" si="404"/>
        <v>10840784.328437822</v>
      </c>
      <c r="AF140" s="200">
        <f t="shared" si="404"/>
        <v>7227189.5522918822</v>
      </c>
      <c r="AG140" s="200">
        <f t="shared" si="404"/>
        <v>0</v>
      </c>
      <c r="AH140" s="200">
        <f t="shared" si="404"/>
        <v>0</v>
      </c>
      <c r="AI140" s="200">
        <f t="shared" si="404"/>
        <v>0</v>
      </c>
      <c r="AJ140" s="200">
        <f t="shared" si="404"/>
        <v>0</v>
      </c>
      <c r="AK140" s="200">
        <f t="shared" si="404"/>
        <v>0</v>
      </c>
      <c r="AL140" s="200">
        <f t="shared" si="404"/>
        <v>0</v>
      </c>
      <c r="AM140" s="200">
        <f t="shared" si="404"/>
        <v>0</v>
      </c>
      <c r="AN140" s="200">
        <f t="shared" si="404"/>
        <v>0</v>
      </c>
      <c r="AO140" s="200">
        <f t="shared" si="404"/>
        <v>0</v>
      </c>
      <c r="AP140" s="200">
        <f t="shared" si="404"/>
        <v>0</v>
      </c>
      <c r="AQ140" s="200">
        <f t="shared" si="404"/>
        <v>0</v>
      </c>
      <c r="AR140" s="200">
        <f t="shared" si="404"/>
        <v>0</v>
      </c>
      <c r="AS140" s="200">
        <f t="shared" si="404"/>
        <v>0</v>
      </c>
      <c r="AT140" s="200">
        <f t="shared" si="404"/>
        <v>0</v>
      </c>
      <c r="AU140" s="200">
        <f t="shared" si="404"/>
        <v>0</v>
      </c>
      <c r="AV140" s="200">
        <f t="shared" si="404"/>
        <v>0</v>
      </c>
      <c r="AW140" s="200">
        <f t="shared" si="404"/>
        <v>0</v>
      </c>
      <c r="AX140" s="200">
        <f t="shared" si="404"/>
        <v>0</v>
      </c>
      <c r="AY140" s="200">
        <f t="shared" si="404"/>
        <v>0</v>
      </c>
      <c r="AZ140" s="200">
        <f t="shared" si="404"/>
        <v>0</v>
      </c>
      <c r="BA140" s="200">
        <f t="shared" si="404"/>
        <v>0</v>
      </c>
      <c r="BB140" s="200">
        <f t="shared" si="404"/>
        <v>0</v>
      </c>
      <c r="BC140" s="200">
        <f t="shared" si="404"/>
        <v>0</v>
      </c>
      <c r="BD140" s="200">
        <f t="shared" si="404"/>
        <v>0</v>
      </c>
      <c r="BE140" s="200">
        <f t="shared" si="404"/>
        <v>0</v>
      </c>
      <c r="BF140" s="200">
        <f t="shared" si="404"/>
        <v>0</v>
      </c>
      <c r="BG140" s="200">
        <f t="shared" si="404"/>
        <v>0</v>
      </c>
      <c r="BH140" s="200">
        <f t="shared" si="404"/>
        <v>0</v>
      </c>
      <c r="BI140" s="200">
        <f t="shared" si="404"/>
        <v>0</v>
      </c>
    </row>
    <row r="141" spans="1:63" s="144" customFormat="1" ht="18" customHeight="1" x14ac:dyDescent="0.25">
      <c r="A141" s="370"/>
      <c r="B141" s="371"/>
      <c r="C141" s="374" t="s">
        <v>169</v>
      </c>
      <c r="D141" s="375"/>
      <c r="E141" s="375"/>
      <c r="F141" s="375"/>
      <c r="G141" s="376"/>
      <c r="H141" s="377"/>
      <c r="I141" s="377"/>
      <c r="J141" s="378"/>
      <c r="K141" s="378"/>
      <c r="L141" s="201">
        <f>L140</f>
        <v>0</v>
      </c>
      <c r="M141" s="201">
        <f>M140+L141</f>
        <v>0</v>
      </c>
      <c r="N141" s="201">
        <f t="shared" ref="N141:BI141" si="405">N140+M141</f>
        <v>11590010.128124999</v>
      </c>
      <c r="O141" s="201">
        <f t="shared" si="405"/>
        <v>27043356.965624999</v>
      </c>
      <c r="P141" s="201">
        <f t="shared" si="405"/>
        <v>50223377.221874997</v>
      </c>
      <c r="Q141" s="201">
        <f t="shared" si="405"/>
        <v>68291351.102604702</v>
      </c>
      <c r="R141" s="201">
        <f t="shared" si="405"/>
        <v>89972919.759480342</v>
      </c>
      <c r="S141" s="201">
        <f t="shared" si="405"/>
        <v>118881677.96864787</v>
      </c>
      <c r="T141" s="201">
        <f t="shared" si="405"/>
        <v>151404030.95396134</v>
      </c>
      <c r="U141" s="201">
        <f t="shared" si="405"/>
        <v>187539978.71542075</v>
      </c>
      <c r="V141" s="201">
        <f t="shared" si="405"/>
        <v>230903116.02917203</v>
      </c>
      <c r="W141" s="201">
        <f t="shared" si="405"/>
        <v>267039063.79063144</v>
      </c>
      <c r="X141" s="201">
        <f t="shared" si="405"/>
        <v>295947821.99979895</v>
      </c>
      <c r="Y141" s="201">
        <f t="shared" si="405"/>
        <v>317629390.65667462</v>
      </c>
      <c r="Z141" s="201">
        <f t="shared" si="405"/>
        <v>335697364.5374043</v>
      </c>
      <c r="AA141" s="201">
        <f t="shared" si="405"/>
        <v>353765338.41813397</v>
      </c>
      <c r="AB141" s="201">
        <f t="shared" si="405"/>
        <v>368219717.52271771</v>
      </c>
      <c r="AC141" s="201">
        <f t="shared" si="405"/>
        <v>382674096.62730145</v>
      </c>
      <c r="AD141" s="201">
        <f t="shared" si="405"/>
        <v>393514880.95573926</v>
      </c>
      <c r="AE141" s="201">
        <f t="shared" si="405"/>
        <v>404355665.28417706</v>
      </c>
      <c r="AF141" s="201">
        <f t="shared" si="405"/>
        <v>411582854.83646894</v>
      </c>
      <c r="AG141" s="201">
        <f t="shared" si="405"/>
        <v>411582854.83646894</v>
      </c>
      <c r="AH141" s="201">
        <f t="shared" si="405"/>
        <v>411582854.83646894</v>
      </c>
      <c r="AI141" s="201">
        <f t="shared" si="405"/>
        <v>411582854.83646894</v>
      </c>
      <c r="AJ141" s="201">
        <f t="shared" si="405"/>
        <v>411582854.83646894</v>
      </c>
      <c r="AK141" s="201">
        <f t="shared" si="405"/>
        <v>411582854.83646894</v>
      </c>
      <c r="AL141" s="201">
        <f t="shared" si="405"/>
        <v>411582854.83646894</v>
      </c>
      <c r="AM141" s="201">
        <f t="shared" si="405"/>
        <v>411582854.83646894</v>
      </c>
      <c r="AN141" s="201">
        <f t="shared" si="405"/>
        <v>411582854.83646894</v>
      </c>
      <c r="AO141" s="201">
        <f t="shared" si="405"/>
        <v>411582854.83646894</v>
      </c>
      <c r="AP141" s="201">
        <f t="shared" si="405"/>
        <v>411582854.83646894</v>
      </c>
      <c r="AQ141" s="201">
        <f t="shared" si="405"/>
        <v>411582854.83646894</v>
      </c>
      <c r="AR141" s="201">
        <f t="shared" si="405"/>
        <v>411582854.83646894</v>
      </c>
      <c r="AS141" s="201">
        <f t="shared" si="405"/>
        <v>411582854.83646894</v>
      </c>
      <c r="AT141" s="201">
        <f t="shared" si="405"/>
        <v>411582854.83646894</v>
      </c>
      <c r="AU141" s="201">
        <f t="shared" si="405"/>
        <v>411582854.83646894</v>
      </c>
      <c r="AV141" s="201">
        <f t="shared" si="405"/>
        <v>411582854.83646894</v>
      </c>
      <c r="AW141" s="201">
        <f t="shared" si="405"/>
        <v>411582854.83646894</v>
      </c>
      <c r="AX141" s="201">
        <f t="shared" si="405"/>
        <v>411582854.83646894</v>
      </c>
      <c r="AY141" s="201">
        <f t="shared" si="405"/>
        <v>411582854.83646894</v>
      </c>
      <c r="AZ141" s="201">
        <f t="shared" si="405"/>
        <v>411582854.83646894</v>
      </c>
      <c r="BA141" s="201">
        <f t="shared" si="405"/>
        <v>411582854.83646894</v>
      </c>
      <c r="BB141" s="201">
        <f t="shared" si="405"/>
        <v>411582854.83646894</v>
      </c>
      <c r="BC141" s="201">
        <f t="shared" si="405"/>
        <v>411582854.83646894</v>
      </c>
      <c r="BD141" s="201">
        <f t="shared" si="405"/>
        <v>411582854.83646894</v>
      </c>
      <c r="BE141" s="201">
        <f t="shared" si="405"/>
        <v>411582854.83646894</v>
      </c>
      <c r="BF141" s="201">
        <f t="shared" si="405"/>
        <v>411582854.83646894</v>
      </c>
      <c r="BG141" s="201">
        <f t="shared" si="405"/>
        <v>411582854.83646894</v>
      </c>
      <c r="BH141" s="201">
        <f t="shared" si="405"/>
        <v>411582854.83646894</v>
      </c>
      <c r="BI141" s="201">
        <f t="shared" si="405"/>
        <v>411582854.83646894</v>
      </c>
    </row>
    <row r="142" spans="1:63" s="144" customFormat="1" ht="18" customHeight="1" x14ac:dyDescent="0.25">
      <c r="A142" s="370"/>
      <c r="B142" s="371"/>
      <c r="C142" s="374" t="s">
        <v>170</v>
      </c>
      <c r="D142" s="375"/>
      <c r="E142" s="375"/>
      <c r="F142" s="375"/>
      <c r="G142" s="376"/>
      <c r="H142" s="377"/>
      <c r="I142" s="377"/>
      <c r="J142" s="378"/>
      <c r="K142" s="378"/>
      <c r="L142" s="202">
        <f>L140/$I$140</f>
        <v>0</v>
      </c>
      <c r="M142" s="202">
        <f t="shared" ref="M142" si="406">M140/$I$140</f>
        <v>0</v>
      </c>
      <c r="N142" s="202">
        <f t="shared" ref="N142:BI142" si="407">N140/$I$140</f>
        <v>2.8975543641476604E-2</v>
      </c>
      <c r="O142" s="202">
        <f t="shared" si="407"/>
        <v>3.8634058188635474E-2</v>
      </c>
      <c r="P142" s="202">
        <f t="shared" si="407"/>
        <v>5.7951087282953208E-2</v>
      </c>
      <c r="Q142" s="202">
        <f t="shared" si="407"/>
        <v>4.5170742726420562E-2</v>
      </c>
      <c r="R142" s="202">
        <f t="shared" si="407"/>
        <v>5.4204891271704671E-2</v>
      </c>
      <c r="S142" s="202">
        <f t="shared" si="407"/>
        <v>7.2273188362272908E-2</v>
      </c>
      <c r="T142" s="202">
        <f t="shared" si="407"/>
        <v>8.130733690755701E-2</v>
      </c>
      <c r="U142" s="202">
        <f t="shared" si="407"/>
        <v>9.0341485452841125E-2</v>
      </c>
      <c r="V142" s="202">
        <f t="shared" si="407"/>
        <v>0.10840978254340934</v>
      </c>
      <c r="W142" s="202">
        <f t="shared" si="407"/>
        <v>9.0341485452841125E-2</v>
      </c>
      <c r="X142" s="202">
        <f t="shared" si="407"/>
        <v>7.2273188362272908E-2</v>
      </c>
      <c r="Y142" s="202">
        <f t="shared" si="407"/>
        <v>5.4204891271704671E-2</v>
      </c>
      <c r="Z142" s="202">
        <f t="shared" si="407"/>
        <v>4.5170742726420562E-2</v>
      </c>
      <c r="AA142" s="202">
        <f t="shared" si="407"/>
        <v>4.5170742726420562E-2</v>
      </c>
      <c r="AB142" s="202">
        <f t="shared" si="407"/>
        <v>3.6136594181136454E-2</v>
      </c>
      <c r="AC142" s="202">
        <f t="shared" si="407"/>
        <v>3.6136594181136454E-2</v>
      </c>
      <c r="AD142" s="202">
        <f t="shared" si="407"/>
        <v>2.7102445635852335E-2</v>
      </c>
      <c r="AE142" s="202">
        <f t="shared" si="407"/>
        <v>2.7102445635852335E-2</v>
      </c>
      <c r="AF142" s="202">
        <f t="shared" si="407"/>
        <v>1.8068297090568227E-2</v>
      </c>
      <c r="AG142" s="202">
        <f t="shared" si="407"/>
        <v>0</v>
      </c>
      <c r="AH142" s="202">
        <f t="shared" si="407"/>
        <v>0</v>
      </c>
      <c r="AI142" s="202">
        <f t="shared" si="407"/>
        <v>0</v>
      </c>
      <c r="AJ142" s="202">
        <f t="shared" si="407"/>
        <v>0</v>
      </c>
      <c r="AK142" s="202">
        <f t="shared" si="407"/>
        <v>0</v>
      </c>
      <c r="AL142" s="202">
        <f t="shared" si="407"/>
        <v>0</v>
      </c>
      <c r="AM142" s="202">
        <f t="shared" si="407"/>
        <v>0</v>
      </c>
      <c r="AN142" s="202">
        <f t="shared" si="407"/>
        <v>0</v>
      </c>
      <c r="AO142" s="202">
        <f t="shared" si="407"/>
        <v>0</v>
      </c>
      <c r="AP142" s="202">
        <f t="shared" si="407"/>
        <v>0</v>
      </c>
      <c r="AQ142" s="202">
        <f t="shared" si="407"/>
        <v>0</v>
      </c>
      <c r="AR142" s="202">
        <f t="shared" si="407"/>
        <v>0</v>
      </c>
      <c r="AS142" s="202">
        <f t="shared" si="407"/>
        <v>0</v>
      </c>
      <c r="AT142" s="202">
        <f t="shared" si="407"/>
        <v>0</v>
      </c>
      <c r="AU142" s="202">
        <f t="shared" si="407"/>
        <v>0</v>
      </c>
      <c r="AV142" s="202">
        <f t="shared" si="407"/>
        <v>0</v>
      </c>
      <c r="AW142" s="202">
        <f t="shared" si="407"/>
        <v>0</v>
      </c>
      <c r="AX142" s="202">
        <f t="shared" si="407"/>
        <v>0</v>
      </c>
      <c r="AY142" s="202">
        <f t="shared" si="407"/>
        <v>0</v>
      </c>
      <c r="AZ142" s="202">
        <f t="shared" si="407"/>
        <v>0</v>
      </c>
      <c r="BA142" s="202">
        <f t="shared" si="407"/>
        <v>0</v>
      </c>
      <c r="BB142" s="202">
        <f t="shared" si="407"/>
        <v>0</v>
      </c>
      <c r="BC142" s="202">
        <f t="shared" si="407"/>
        <v>0</v>
      </c>
      <c r="BD142" s="202">
        <f t="shared" si="407"/>
        <v>0</v>
      </c>
      <c r="BE142" s="202">
        <f t="shared" si="407"/>
        <v>0</v>
      </c>
      <c r="BF142" s="202">
        <f t="shared" si="407"/>
        <v>0</v>
      </c>
      <c r="BG142" s="202">
        <f t="shared" si="407"/>
        <v>0</v>
      </c>
      <c r="BH142" s="202">
        <f t="shared" si="407"/>
        <v>0</v>
      </c>
      <c r="BI142" s="202">
        <f t="shared" si="407"/>
        <v>0</v>
      </c>
    </row>
    <row r="143" spans="1:63" s="144" customFormat="1" ht="18" customHeight="1" x14ac:dyDescent="0.25">
      <c r="A143" s="372"/>
      <c r="B143" s="373"/>
      <c r="C143" s="374" t="s">
        <v>171</v>
      </c>
      <c r="D143" s="375"/>
      <c r="E143" s="375"/>
      <c r="F143" s="375"/>
      <c r="G143" s="376"/>
      <c r="H143" s="377"/>
      <c r="I143" s="377"/>
      <c r="J143" s="378"/>
      <c r="K143" s="378"/>
      <c r="L143" s="202">
        <f>L142</f>
        <v>0</v>
      </c>
      <c r="M143" s="202">
        <f t="shared" ref="M143" si="408">M142+L143</f>
        <v>0</v>
      </c>
      <c r="N143" s="202">
        <f t="shared" ref="N143" si="409">N142+M143</f>
        <v>2.8975543641476604E-2</v>
      </c>
      <c r="O143" s="202">
        <f t="shared" ref="O143" si="410">O142+N143</f>
        <v>6.7609601830112082E-2</v>
      </c>
      <c r="P143" s="202">
        <f t="shared" ref="P143" si="411">P142+O143</f>
        <v>0.12556068911306528</v>
      </c>
      <c r="Q143" s="202">
        <f t="shared" ref="Q143" si="412">Q142+P143</f>
        <v>0.17073143183948586</v>
      </c>
      <c r="R143" s="202">
        <f t="shared" ref="R143" si="413">R142+Q143</f>
        <v>0.22493632311119052</v>
      </c>
      <c r="S143" s="202">
        <f t="shared" ref="S143" si="414">S142+R143</f>
        <v>0.29720951147346342</v>
      </c>
      <c r="T143" s="202">
        <f t="shared" ref="T143" si="415">T142+S143</f>
        <v>0.3785168483810204</v>
      </c>
      <c r="U143" s="202">
        <f t="shared" ref="U143" si="416">U142+T143</f>
        <v>0.46885833383386155</v>
      </c>
      <c r="V143" s="202">
        <f t="shared" ref="V143" si="417">V142+U143</f>
        <v>0.57726811637727093</v>
      </c>
      <c r="W143" s="202">
        <f t="shared" ref="W143" si="418">W142+V143</f>
        <v>0.66760960183011209</v>
      </c>
      <c r="X143" s="202">
        <f t="shared" ref="X143" si="419">X142+W143</f>
        <v>0.73988279019238501</v>
      </c>
      <c r="Y143" s="202">
        <f t="shared" ref="Y143" si="420">Y142+X143</f>
        <v>0.7940876814640897</v>
      </c>
      <c r="Z143" s="202">
        <f t="shared" ref="Z143" si="421">Z142+Y143</f>
        <v>0.83925842419051022</v>
      </c>
      <c r="AA143" s="202">
        <f t="shared" ref="AA143" si="422">AA142+Z143</f>
        <v>0.88442916691693074</v>
      </c>
      <c r="AB143" s="202">
        <f t="shared" ref="AB143" si="423">AB142+AA143</f>
        <v>0.9205657610980672</v>
      </c>
      <c r="AC143" s="202">
        <f t="shared" ref="AC143" si="424">AC142+AB143</f>
        <v>0.95670235527920366</v>
      </c>
      <c r="AD143" s="202">
        <f t="shared" ref="AD143" si="425">AD142+AC143</f>
        <v>0.98380480091505595</v>
      </c>
      <c r="AE143" s="202">
        <f t="shared" ref="AE143" si="426">AE142+AD143</f>
        <v>1.0109072465509084</v>
      </c>
      <c r="AF143" s="202">
        <f t="shared" ref="AF143" si="427">AF142+AE143</f>
        <v>1.0289755436414765</v>
      </c>
      <c r="AG143" s="202">
        <f t="shared" ref="AG143" si="428">AG142+AF143</f>
        <v>1.0289755436414765</v>
      </c>
      <c r="AH143" s="202">
        <f t="shared" ref="AH143" si="429">AH142+AG143</f>
        <v>1.0289755436414765</v>
      </c>
      <c r="AI143" s="202">
        <f t="shared" ref="AI143" si="430">AI142+AH143</f>
        <v>1.0289755436414765</v>
      </c>
      <c r="AJ143" s="202">
        <f t="shared" ref="AJ143" si="431">AJ142+AI143</f>
        <v>1.0289755436414765</v>
      </c>
      <c r="AK143" s="202">
        <f t="shared" ref="AK143" si="432">AK142+AJ143</f>
        <v>1.0289755436414765</v>
      </c>
      <c r="AL143" s="202">
        <f t="shared" ref="AL143" si="433">AL142+AK143</f>
        <v>1.0289755436414765</v>
      </c>
      <c r="AM143" s="202">
        <f t="shared" ref="AM143" si="434">AM142+AL143</f>
        <v>1.0289755436414765</v>
      </c>
      <c r="AN143" s="202">
        <f t="shared" ref="AN143" si="435">AN142+AM143</f>
        <v>1.0289755436414765</v>
      </c>
      <c r="AO143" s="202">
        <f t="shared" ref="AO143" si="436">AO142+AN143</f>
        <v>1.0289755436414765</v>
      </c>
      <c r="AP143" s="202">
        <f t="shared" ref="AP143" si="437">AP142+AO143</f>
        <v>1.0289755436414765</v>
      </c>
      <c r="AQ143" s="202">
        <f t="shared" ref="AQ143" si="438">AQ142+AP143</f>
        <v>1.0289755436414765</v>
      </c>
      <c r="AR143" s="202">
        <f t="shared" ref="AR143" si="439">AR142+AQ143</f>
        <v>1.0289755436414765</v>
      </c>
      <c r="AS143" s="202">
        <f t="shared" ref="AS143" si="440">AS142+AR143</f>
        <v>1.0289755436414765</v>
      </c>
      <c r="AT143" s="202">
        <f t="shared" ref="AT143" si="441">AT142+AS143</f>
        <v>1.0289755436414765</v>
      </c>
      <c r="AU143" s="202">
        <f t="shared" ref="AU143" si="442">AU142+AT143</f>
        <v>1.0289755436414765</v>
      </c>
      <c r="AV143" s="202">
        <f t="shared" ref="AV143" si="443">AV142+AU143</f>
        <v>1.0289755436414765</v>
      </c>
      <c r="AW143" s="202">
        <f t="shared" ref="AW143" si="444">AW142+AV143</f>
        <v>1.0289755436414765</v>
      </c>
      <c r="AX143" s="202">
        <f t="shared" ref="AX143" si="445">AX142+AW143</f>
        <v>1.0289755436414765</v>
      </c>
      <c r="AY143" s="202">
        <f t="shared" ref="AY143" si="446">AY142+AX143</f>
        <v>1.0289755436414765</v>
      </c>
      <c r="AZ143" s="202">
        <f t="shared" ref="AZ143" si="447">AZ142+AY143</f>
        <v>1.0289755436414765</v>
      </c>
      <c r="BA143" s="202">
        <f t="shared" ref="BA143" si="448">BA142+AZ143</f>
        <v>1.0289755436414765</v>
      </c>
      <c r="BB143" s="202">
        <f t="shared" ref="BB143" si="449">BB142+BA143</f>
        <v>1.0289755436414765</v>
      </c>
      <c r="BC143" s="202">
        <f t="shared" ref="BC143" si="450">BC142+BB143</f>
        <v>1.0289755436414765</v>
      </c>
      <c r="BD143" s="202">
        <f t="shared" ref="BD143" si="451">BD142+BC143</f>
        <v>1.0289755436414765</v>
      </c>
      <c r="BE143" s="202">
        <f t="shared" ref="BE143" si="452">BE142+BD143</f>
        <v>1.0289755436414765</v>
      </c>
      <c r="BF143" s="202">
        <f t="shared" ref="BF143" si="453">BF142+BE143</f>
        <v>1.0289755436414765</v>
      </c>
      <c r="BG143" s="202">
        <f t="shared" ref="BG143" si="454">BG142+BF143</f>
        <v>1.0289755436414765</v>
      </c>
      <c r="BH143" s="202">
        <f t="shared" ref="BH143" si="455">BH142+BG143</f>
        <v>1.0289755436414765</v>
      </c>
      <c r="BI143" s="202">
        <f t="shared" ref="BI143" si="456">BI142+BH143</f>
        <v>1.0289755436414765</v>
      </c>
    </row>
    <row r="144" spans="1:63" s="140" customFormat="1" ht="10.199999999999999" x14ac:dyDescent="0.25">
      <c r="I144" s="145"/>
      <c r="J144" s="145"/>
      <c r="K144" s="145"/>
      <c r="L144" s="146"/>
      <c r="M144" s="146"/>
      <c r="N144" s="146"/>
      <c r="O144" s="146"/>
      <c r="P144" s="146"/>
      <c r="Q144" s="146"/>
      <c r="R144" s="146"/>
      <c r="S144" s="146"/>
      <c r="T144" s="139"/>
      <c r="U144" s="139"/>
      <c r="V144" s="139"/>
      <c r="W144" s="139"/>
      <c r="X144" s="139"/>
      <c r="Y144" s="139"/>
      <c r="Z144" s="139"/>
      <c r="AA144" s="139"/>
      <c r="AB144" s="139"/>
      <c r="AC144" s="139"/>
      <c r="AD144" s="139"/>
      <c r="AE144" s="139"/>
      <c r="AF144" s="139"/>
      <c r="AG144" s="139"/>
      <c r="AH144" s="139"/>
      <c r="AI144" s="139"/>
      <c r="AJ144" s="139"/>
      <c r="AK144" s="139"/>
      <c r="AL144" s="139"/>
      <c r="AM144" s="139"/>
      <c r="AN144" s="139"/>
      <c r="AO144" s="139"/>
      <c r="AP144" s="139"/>
      <c r="AQ144" s="139"/>
      <c r="AR144" s="139"/>
      <c r="AS144" s="139"/>
      <c r="AT144" s="139"/>
      <c r="AU144" s="139"/>
      <c r="AV144" s="139"/>
      <c r="AW144" s="139"/>
      <c r="AX144" s="139"/>
      <c r="AY144" s="139"/>
      <c r="AZ144" s="139"/>
      <c r="BA144" s="139"/>
      <c r="BB144" s="139"/>
      <c r="BC144" s="139"/>
      <c r="BD144" s="139"/>
      <c r="BE144" s="139"/>
      <c r="BF144" s="139"/>
      <c r="BG144" s="139"/>
      <c r="BH144" s="139"/>
      <c r="BI144" s="139"/>
    </row>
    <row r="145" spans="1:63" s="140" customFormat="1" ht="10.199999999999999" x14ac:dyDescent="0.25">
      <c r="I145" s="145"/>
      <c r="J145" s="145"/>
      <c r="K145" s="145"/>
      <c r="L145" s="146"/>
      <c r="M145" s="146"/>
      <c r="N145" s="146"/>
      <c r="O145" s="146"/>
      <c r="P145" s="146"/>
      <c r="Q145" s="146"/>
      <c r="R145" s="146"/>
      <c r="S145" s="146"/>
      <c r="T145" s="139"/>
      <c r="U145" s="139"/>
      <c r="V145" s="139"/>
      <c r="W145" s="139"/>
      <c r="X145" s="139"/>
      <c r="Y145" s="139"/>
      <c r="Z145" s="139"/>
      <c r="AA145" s="139"/>
      <c r="AB145" s="139"/>
      <c r="AC145" s="139"/>
      <c r="AD145" s="139"/>
      <c r="AE145" s="139"/>
      <c r="AF145" s="139"/>
      <c r="AG145" s="139"/>
      <c r="AH145" s="139"/>
      <c r="AI145" s="139"/>
      <c r="AJ145" s="139"/>
      <c r="AK145" s="139"/>
      <c r="AL145" s="139"/>
      <c r="AM145" s="139"/>
      <c r="AN145" s="139"/>
      <c r="AO145" s="139"/>
      <c r="AP145" s="139"/>
      <c r="AQ145" s="139"/>
      <c r="AR145" s="139"/>
      <c r="AS145" s="139"/>
      <c r="AT145" s="139"/>
      <c r="AU145" s="139"/>
      <c r="AV145" s="139"/>
      <c r="AW145" s="139"/>
      <c r="AX145" s="139"/>
      <c r="AY145" s="139"/>
      <c r="AZ145" s="139"/>
      <c r="BA145" s="139"/>
      <c r="BB145" s="139"/>
      <c r="BC145" s="139"/>
      <c r="BD145" s="139"/>
      <c r="BE145" s="139"/>
      <c r="BF145" s="139"/>
      <c r="BG145" s="139"/>
      <c r="BH145" s="139"/>
      <c r="BI145" s="139"/>
    </row>
    <row r="146" spans="1:63" s="47" customFormat="1" ht="21.75" customHeight="1" x14ac:dyDescent="0.25">
      <c r="A146" s="155" t="s">
        <v>105</v>
      </c>
      <c r="B146" s="203" t="str">
        <f>Empreendimentos!A76</f>
        <v>AL'DORA PARK</v>
      </c>
      <c r="C146" s="156"/>
      <c r="D146" s="156"/>
      <c r="E146" s="157"/>
      <c r="F146" s="216">
        <f>SUM(F147,F149,F151,F153,F155,F157,F159,F161,F163,F165,F167,F169,F171,F173)</f>
        <v>424579.09762499999</v>
      </c>
      <c r="G146" s="216">
        <f>SUM(G147,G149,G151,G153,G155,G157,G159,G161,G163,G165,G167,G169)</f>
        <v>696031.30758196732</v>
      </c>
      <c r="H146" s="213">
        <f>SUM(H147,H149,H151,H153,H155,H157,H159,H161,H163,H165,H167,H169,H171,H173)</f>
        <v>3748025828.4250002</v>
      </c>
      <c r="I146" s="213">
        <f t="shared" ref="I146" si="457">SUM(I147,I149,I151,I153,I155,I157,I159,I161,I163,I165,I167,I169,I171,I173)</f>
        <v>2228067491.4641953</v>
      </c>
      <c r="J146" s="198">
        <f>H146/$H$176</f>
        <v>1</v>
      </c>
      <c r="K146" s="198">
        <f>I146/$I$181</f>
        <v>1</v>
      </c>
      <c r="L146" s="158"/>
      <c r="M146" s="159"/>
      <c r="N146" s="159"/>
      <c r="O146" s="159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  <c r="AA146" s="160"/>
      <c r="AB146" s="160"/>
      <c r="AC146" s="160"/>
      <c r="AD146" s="160"/>
      <c r="AE146" s="160"/>
      <c r="AF146" s="160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161"/>
      <c r="AU146" s="161"/>
      <c r="AV146" s="161"/>
      <c r="AW146" s="161"/>
      <c r="AX146" s="161"/>
      <c r="AY146" s="161"/>
      <c r="AZ146" s="161"/>
      <c r="BA146" s="161"/>
      <c r="BB146" s="161"/>
      <c r="BC146" s="161"/>
      <c r="BD146" s="161"/>
      <c r="BE146" s="161"/>
      <c r="BF146" s="161"/>
      <c r="BG146" s="161"/>
      <c r="BH146" s="161"/>
      <c r="BI146" s="162"/>
      <c r="BJ146" s="119">
        <f>SUM(L146:BI146)</f>
        <v>0</v>
      </c>
      <c r="BK146" s="33"/>
    </row>
    <row r="147" spans="1:63" ht="21.75" customHeight="1" x14ac:dyDescent="0.25">
      <c r="A147" s="193" t="str">
        <f>Empreendimentos!B77</f>
        <v>QAP01</v>
      </c>
      <c r="B147" s="154" t="str">
        <f>Empreendimentos!C77</f>
        <v>Residencial</v>
      </c>
      <c r="C147" s="197" t="str">
        <f>$C$338</f>
        <v xml:space="preserve">Standart Plus </v>
      </c>
      <c r="D147" s="188">
        <f>Empreendimentos!L77</f>
        <v>8</v>
      </c>
      <c r="E147" s="189">
        <f>Empreendimentos!M77</f>
        <v>63.606766666666665</v>
      </c>
      <c r="F147" s="190">
        <f>Empreendimentos!H77</f>
        <v>61062.495999999999</v>
      </c>
      <c r="G147" s="190">
        <f>Empreendimentos!I77</f>
        <v>100102.45245901639</v>
      </c>
      <c r="H147" s="191">
        <f>F147*VLOOKUP(C147,$C$337:$E$351,2,FALSE)</f>
        <v>488499968</v>
      </c>
      <c r="I147" s="192">
        <f>G147*VLOOKUP(C147,$C$337:$E$351,3,FALSE)</f>
        <v>281115955.93800473</v>
      </c>
      <c r="J147" s="205">
        <f t="shared" ref="J147:J173" si="458">H147/$H$176</f>
        <v>0.13033527258409477</v>
      </c>
      <c r="K147" s="205">
        <f t="shared" ref="K147:K173" si="459">I147/$I$181</f>
        <v>0.12617030543956581</v>
      </c>
      <c r="L147" s="181"/>
      <c r="M147" s="182">
        <f>'Cronogramaa Fisico'!E38</f>
        <v>0</v>
      </c>
      <c r="N147" s="182">
        <f>'Cronogramaa Fisico'!F38</f>
        <v>0</v>
      </c>
      <c r="O147" s="182">
        <f>'Cronogramaa Fisico'!G38</f>
        <v>0</v>
      </c>
      <c r="P147" s="182">
        <f>'Cronogramaa Fisico'!H38</f>
        <v>0</v>
      </c>
      <c r="Q147" s="182">
        <f>'Cronogramaa Fisico'!I38</f>
        <v>0</v>
      </c>
      <c r="R147" s="182">
        <f>'Cronogramaa Fisico'!J38</f>
        <v>0.01</v>
      </c>
      <c r="S147" s="182">
        <f>'Cronogramaa Fisico'!K38</f>
        <v>0.01</v>
      </c>
      <c r="T147" s="182">
        <f>'Cronogramaa Fisico'!L38</f>
        <v>0.01</v>
      </c>
      <c r="U147" s="182">
        <f>'Cronogramaa Fisico'!M38</f>
        <v>1.2999999999999999E-2</v>
      </c>
      <c r="V147" s="182">
        <f>'Cronogramaa Fisico'!N38</f>
        <v>0.02</v>
      </c>
      <c r="W147" s="182">
        <f>'Cronogramaa Fisico'!O38</f>
        <v>2.1999999999999999E-2</v>
      </c>
      <c r="X147" s="182">
        <f>'Cronogramaa Fisico'!P38</f>
        <v>2.5000000000000001E-2</v>
      </c>
      <c r="Y147" s="182">
        <f>'Cronogramaa Fisico'!Q38</f>
        <v>0.03</v>
      </c>
      <c r="Z147" s="182">
        <f>'Cronogramaa Fisico'!R38</f>
        <v>0.03</v>
      </c>
      <c r="AA147" s="182">
        <f>'Cronogramaa Fisico'!S38</f>
        <v>0.03</v>
      </c>
      <c r="AB147" s="182">
        <f>'Cronogramaa Fisico'!T38</f>
        <v>0.03</v>
      </c>
      <c r="AC147" s="182">
        <f>'Cronogramaa Fisico'!U38</f>
        <v>0.03</v>
      </c>
      <c r="AD147" s="182">
        <f>'Cronogramaa Fisico'!V38</f>
        <v>0.03</v>
      </c>
      <c r="AE147" s="182">
        <f>'Cronogramaa Fisico'!W38</f>
        <v>0.03</v>
      </c>
      <c r="AF147" s="182">
        <f>'Cronogramaa Fisico'!X38</f>
        <v>0.03</v>
      </c>
      <c r="AG147" s="182">
        <f>'Cronogramaa Fisico'!Y38</f>
        <v>0.03</v>
      </c>
      <c r="AH147" s="182">
        <f>'Cronogramaa Fisico'!Z38</f>
        <v>0.03</v>
      </c>
      <c r="AI147" s="182">
        <f>'Cronogramaa Fisico'!AA38</f>
        <v>0.03</v>
      </c>
      <c r="AJ147" s="182">
        <f>'Cronogramaa Fisico'!AB38</f>
        <v>0.03</v>
      </c>
      <c r="AK147" s="182">
        <f>'Cronogramaa Fisico'!AC38</f>
        <v>0.03</v>
      </c>
      <c r="AL147" s="182">
        <f>'Cronogramaa Fisico'!AD38</f>
        <v>0.03</v>
      </c>
      <c r="AM147" s="182">
        <f>'Cronogramaa Fisico'!AE38</f>
        <v>0.03</v>
      </c>
      <c r="AN147" s="182">
        <f>'Cronogramaa Fisico'!AF38</f>
        <v>0.03</v>
      </c>
      <c r="AO147" s="182">
        <f>'Cronogramaa Fisico'!AG38</f>
        <v>0.02</v>
      </c>
      <c r="AP147" s="182">
        <f>'Cronogramaa Fisico'!AH38</f>
        <v>0.02</v>
      </c>
      <c r="AQ147" s="182">
        <f>'Cronogramaa Fisico'!AI38</f>
        <v>0.02</v>
      </c>
      <c r="AR147" s="182">
        <f>'Cronogramaa Fisico'!AJ38</f>
        <v>0.02</v>
      </c>
      <c r="AS147" s="182">
        <f>'Cronogramaa Fisico'!AK38</f>
        <v>0.02</v>
      </c>
      <c r="AT147" s="182">
        <f>'Cronogramaa Fisico'!AL38</f>
        <v>0.02</v>
      </c>
      <c r="AU147" s="182">
        <f>'Cronogramaa Fisico'!AM38</f>
        <v>0.02</v>
      </c>
      <c r="AV147" s="182">
        <f>'Cronogramaa Fisico'!AN38</f>
        <v>0.02</v>
      </c>
      <c r="AW147" s="182">
        <f>'Cronogramaa Fisico'!AO38</f>
        <v>0.02</v>
      </c>
      <c r="AX147" s="182">
        <f>'Cronogramaa Fisico'!AP38</f>
        <v>0.02</v>
      </c>
      <c r="AY147" s="182">
        <f>'Cronogramaa Fisico'!AQ38</f>
        <v>0.02</v>
      </c>
      <c r="AZ147" s="182">
        <f>'Cronogramaa Fisico'!AR38</f>
        <v>0.02</v>
      </c>
      <c r="BA147" s="182">
        <f>'Cronogramaa Fisico'!AS38</f>
        <v>0.02</v>
      </c>
      <c r="BB147" s="182">
        <f>'Cronogramaa Fisico'!AT38</f>
        <v>0.02</v>
      </c>
      <c r="BC147" s="182">
        <f>'Cronogramaa Fisico'!AU38</f>
        <v>0.02</v>
      </c>
      <c r="BD147" s="182">
        <f>'Cronogramaa Fisico'!AV38</f>
        <v>0.02</v>
      </c>
      <c r="BE147" s="182">
        <f>'Cronogramaa Fisico'!AW38</f>
        <v>0.02</v>
      </c>
      <c r="BF147" s="182">
        <f>'Cronogramaa Fisico'!AX38</f>
        <v>0.02</v>
      </c>
      <c r="BG147" s="182">
        <f>'Cronogramaa Fisico'!AY38</f>
        <v>0.02</v>
      </c>
      <c r="BH147" s="182">
        <f>'Cronogramaa Fisico'!AZ38</f>
        <v>0.02</v>
      </c>
      <c r="BI147" s="185">
        <f>'Cronogramaa Fisico'!BA38</f>
        <v>0.01</v>
      </c>
      <c r="BJ147" s="119">
        <f>SUM(L147:BI147)</f>
        <v>1.0000000000000007</v>
      </c>
      <c r="BK147" s="11"/>
    </row>
    <row r="148" spans="1:63" ht="9.6" customHeight="1" x14ac:dyDescent="0.25">
      <c r="A148" s="120"/>
      <c r="B148" s="219"/>
      <c r="C148" s="174"/>
      <c r="D148" s="148"/>
      <c r="E148" s="173"/>
      <c r="F148" s="149"/>
      <c r="G148" s="149"/>
      <c r="H148" s="179"/>
      <c r="I148" s="180"/>
      <c r="J148" s="204">
        <f t="shared" si="458"/>
        <v>0</v>
      </c>
      <c r="K148" s="204">
        <f t="shared" si="459"/>
        <v>0</v>
      </c>
      <c r="L148" s="123"/>
      <c r="M148" s="124"/>
      <c r="N148" s="124"/>
      <c r="O148" s="124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25"/>
      <c r="AF148" s="125"/>
      <c r="AG148" s="126"/>
      <c r="AH148" s="126"/>
      <c r="AI148" s="126"/>
      <c r="AJ148" s="126"/>
      <c r="AK148" s="126"/>
      <c r="AL148" s="126"/>
      <c r="AM148" s="126"/>
      <c r="AN148" s="126"/>
      <c r="AO148" s="126"/>
      <c r="AP148" s="126"/>
      <c r="AQ148" s="126"/>
      <c r="AR148" s="126"/>
      <c r="AS148" s="126"/>
      <c r="AT148" s="126"/>
      <c r="AU148" s="126"/>
      <c r="AV148" s="126"/>
      <c r="AW148" s="126"/>
      <c r="AX148" s="126"/>
      <c r="AY148" s="126"/>
      <c r="AZ148" s="126"/>
      <c r="BA148" s="126"/>
      <c r="BB148" s="126"/>
      <c r="BC148" s="126"/>
      <c r="BD148" s="126"/>
      <c r="BE148" s="126"/>
      <c r="BF148" s="126"/>
      <c r="BG148" s="126"/>
      <c r="BH148" s="126"/>
      <c r="BI148" s="127"/>
      <c r="BJ148" s="119">
        <f t="shared" ref="BJ148:BJ173" si="460">SUM(L148:BI148)</f>
        <v>0</v>
      </c>
    </row>
    <row r="149" spans="1:63" ht="21.75" customHeight="1" x14ac:dyDescent="0.25">
      <c r="A149" s="193" t="str">
        <f>Empreendimentos!B79</f>
        <v>QAP02</v>
      </c>
      <c r="B149" s="154" t="str">
        <f>Empreendimentos!C79</f>
        <v>Residencial</v>
      </c>
      <c r="C149" s="197" t="str">
        <f>$C$338</f>
        <v xml:space="preserve">Standart Plus </v>
      </c>
      <c r="D149" s="188">
        <f>Empreendimentos!L79</f>
        <v>7</v>
      </c>
      <c r="E149" s="189">
        <f>Empreendimentos!M79</f>
        <v>66.268796499999993</v>
      </c>
      <c r="F149" s="190">
        <f>Empreendimentos!H79</f>
        <v>55665.789060000003</v>
      </c>
      <c r="G149" s="190">
        <f>Empreendimentos!I79</f>
        <v>91255.391901639348</v>
      </c>
      <c r="H149" s="191">
        <f>F149*VLOOKUP(C149,$C$337:$E$351,2,FALSE)</f>
        <v>445326312.48000002</v>
      </c>
      <c r="I149" s="192">
        <f>G149*VLOOKUP(C149,$C$337:$E$351,3,FALSE)</f>
        <v>256270911.43875328</v>
      </c>
      <c r="J149" s="205">
        <f t="shared" si="458"/>
        <v>0.11881623362962138</v>
      </c>
      <c r="K149" s="205">
        <f t="shared" si="459"/>
        <v>0.11501936652302326</v>
      </c>
      <c r="L149" s="181"/>
      <c r="M149" s="182">
        <f>M147</f>
        <v>0</v>
      </c>
      <c r="N149" s="182">
        <f t="shared" ref="N149:BI149" si="461">N147</f>
        <v>0</v>
      </c>
      <c r="O149" s="182">
        <f t="shared" si="461"/>
        <v>0</v>
      </c>
      <c r="P149" s="182">
        <f t="shared" si="461"/>
        <v>0</v>
      </c>
      <c r="Q149" s="182">
        <f t="shared" si="461"/>
        <v>0</v>
      </c>
      <c r="R149" s="182">
        <f t="shared" si="461"/>
        <v>0.01</v>
      </c>
      <c r="S149" s="182">
        <f t="shared" si="461"/>
        <v>0.01</v>
      </c>
      <c r="T149" s="182">
        <f t="shared" si="461"/>
        <v>0.01</v>
      </c>
      <c r="U149" s="182">
        <f t="shared" si="461"/>
        <v>1.2999999999999999E-2</v>
      </c>
      <c r="V149" s="182">
        <f t="shared" si="461"/>
        <v>0.02</v>
      </c>
      <c r="W149" s="182">
        <f t="shared" si="461"/>
        <v>2.1999999999999999E-2</v>
      </c>
      <c r="X149" s="182">
        <f t="shared" si="461"/>
        <v>2.5000000000000001E-2</v>
      </c>
      <c r="Y149" s="182">
        <f t="shared" si="461"/>
        <v>0.03</v>
      </c>
      <c r="Z149" s="182">
        <f t="shared" si="461"/>
        <v>0.03</v>
      </c>
      <c r="AA149" s="182">
        <f t="shared" si="461"/>
        <v>0.03</v>
      </c>
      <c r="AB149" s="182">
        <f t="shared" si="461"/>
        <v>0.03</v>
      </c>
      <c r="AC149" s="182">
        <f t="shared" si="461"/>
        <v>0.03</v>
      </c>
      <c r="AD149" s="182">
        <f t="shared" si="461"/>
        <v>0.03</v>
      </c>
      <c r="AE149" s="182">
        <f t="shared" si="461"/>
        <v>0.03</v>
      </c>
      <c r="AF149" s="182">
        <f t="shared" si="461"/>
        <v>0.03</v>
      </c>
      <c r="AG149" s="182">
        <f t="shared" si="461"/>
        <v>0.03</v>
      </c>
      <c r="AH149" s="182">
        <f t="shared" si="461"/>
        <v>0.03</v>
      </c>
      <c r="AI149" s="182">
        <f t="shared" si="461"/>
        <v>0.03</v>
      </c>
      <c r="AJ149" s="182">
        <f t="shared" si="461"/>
        <v>0.03</v>
      </c>
      <c r="AK149" s="182">
        <f t="shared" si="461"/>
        <v>0.03</v>
      </c>
      <c r="AL149" s="182">
        <f t="shared" si="461"/>
        <v>0.03</v>
      </c>
      <c r="AM149" s="182">
        <f t="shared" si="461"/>
        <v>0.03</v>
      </c>
      <c r="AN149" s="182">
        <f t="shared" si="461"/>
        <v>0.03</v>
      </c>
      <c r="AO149" s="182">
        <f t="shared" si="461"/>
        <v>0.02</v>
      </c>
      <c r="AP149" s="182">
        <f t="shared" si="461"/>
        <v>0.02</v>
      </c>
      <c r="AQ149" s="182">
        <f t="shared" si="461"/>
        <v>0.02</v>
      </c>
      <c r="AR149" s="182">
        <f t="shared" si="461"/>
        <v>0.02</v>
      </c>
      <c r="AS149" s="182">
        <f t="shared" si="461"/>
        <v>0.02</v>
      </c>
      <c r="AT149" s="182">
        <f t="shared" si="461"/>
        <v>0.02</v>
      </c>
      <c r="AU149" s="182">
        <f t="shared" si="461"/>
        <v>0.02</v>
      </c>
      <c r="AV149" s="182">
        <f t="shared" si="461"/>
        <v>0.02</v>
      </c>
      <c r="AW149" s="182">
        <f t="shared" si="461"/>
        <v>0.02</v>
      </c>
      <c r="AX149" s="182">
        <f t="shared" si="461"/>
        <v>0.02</v>
      </c>
      <c r="AY149" s="182">
        <f t="shared" si="461"/>
        <v>0.02</v>
      </c>
      <c r="AZ149" s="182">
        <f t="shared" si="461"/>
        <v>0.02</v>
      </c>
      <c r="BA149" s="182">
        <f t="shared" si="461"/>
        <v>0.02</v>
      </c>
      <c r="BB149" s="182">
        <f t="shared" si="461"/>
        <v>0.02</v>
      </c>
      <c r="BC149" s="182">
        <f t="shared" si="461"/>
        <v>0.02</v>
      </c>
      <c r="BD149" s="182">
        <f t="shared" si="461"/>
        <v>0.02</v>
      </c>
      <c r="BE149" s="182">
        <f t="shared" si="461"/>
        <v>0.02</v>
      </c>
      <c r="BF149" s="182">
        <f t="shared" si="461"/>
        <v>0.02</v>
      </c>
      <c r="BG149" s="182">
        <f t="shared" si="461"/>
        <v>0.02</v>
      </c>
      <c r="BH149" s="182">
        <f t="shared" si="461"/>
        <v>0.02</v>
      </c>
      <c r="BI149" s="185">
        <f t="shared" si="461"/>
        <v>0.01</v>
      </c>
      <c r="BJ149" s="119">
        <f t="shared" si="460"/>
        <v>1.0000000000000007</v>
      </c>
      <c r="BK149" s="11"/>
    </row>
    <row r="150" spans="1:63" ht="9.6" customHeight="1" x14ac:dyDescent="0.25">
      <c r="A150" s="120"/>
      <c r="B150" s="219"/>
      <c r="C150" s="174"/>
      <c r="D150" s="148"/>
      <c r="E150" s="173"/>
      <c r="F150" s="149"/>
      <c r="G150" s="149"/>
      <c r="H150" s="179"/>
      <c r="I150" s="180"/>
      <c r="J150" s="204">
        <f t="shared" si="458"/>
        <v>0</v>
      </c>
      <c r="K150" s="204">
        <f t="shared" si="459"/>
        <v>0</v>
      </c>
      <c r="L150" s="123"/>
      <c r="M150" s="124"/>
      <c r="N150" s="124"/>
      <c r="O150" s="128"/>
      <c r="P150" s="128"/>
      <c r="Q150" s="128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5"/>
      <c r="AE150" s="125"/>
      <c r="AF150" s="125"/>
      <c r="AG150" s="126"/>
      <c r="AH150" s="126"/>
      <c r="AI150" s="126"/>
      <c r="AJ150" s="126"/>
      <c r="AK150" s="126"/>
      <c r="AL150" s="126"/>
      <c r="AM150" s="126"/>
      <c r="AN150" s="126"/>
      <c r="AO150" s="126"/>
      <c r="AP150" s="126"/>
      <c r="AQ150" s="126"/>
      <c r="AR150" s="126"/>
      <c r="AS150" s="126"/>
      <c r="AT150" s="126"/>
      <c r="AU150" s="126"/>
      <c r="AV150" s="126"/>
      <c r="AW150" s="126"/>
      <c r="AX150" s="126"/>
      <c r="AY150" s="126"/>
      <c r="AZ150" s="126"/>
      <c r="BA150" s="126"/>
      <c r="BB150" s="126"/>
      <c r="BC150" s="126"/>
      <c r="BD150" s="126"/>
      <c r="BE150" s="126"/>
      <c r="BF150" s="126"/>
      <c r="BG150" s="126"/>
      <c r="BH150" s="126"/>
      <c r="BI150" s="127"/>
      <c r="BJ150" s="119">
        <f t="shared" si="460"/>
        <v>0</v>
      </c>
    </row>
    <row r="151" spans="1:63" ht="21.75" customHeight="1" x14ac:dyDescent="0.25">
      <c r="A151" s="193" t="str">
        <f>Empreendimentos!B81</f>
        <v>QAP03</v>
      </c>
      <c r="B151" s="154" t="str">
        <f>Empreendimentos!C81</f>
        <v>Área publica</v>
      </c>
      <c r="C151" s="197"/>
      <c r="D151" s="188"/>
      <c r="E151" s="189">
        <f>Empreendimentos!D81</f>
        <v>8934.8408999999992</v>
      </c>
      <c r="F151" s="190"/>
      <c r="G151" s="190"/>
      <c r="H151" s="191"/>
      <c r="I151" s="192"/>
      <c r="J151" s="205">
        <f t="shared" si="458"/>
        <v>0</v>
      </c>
      <c r="K151" s="205">
        <f t="shared" si="459"/>
        <v>0</v>
      </c>
      <c r="L151" s="181"/>
      <c r="M151" s="182"/>
      <c r="N151" s="182"/>
      <c r="O151" s="182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  <c r="AA151" s="183"/>
      <c r="AB151" s="183"/>
      <c r="AC151" s="183"/>
      <c r="AD151" s="183"/>
      <c r="AE151" s="183"/>
      <c r="AF151" s="183"/>
      <c r="AG151" s="184"/>
      <c r="AH151" s="184"/>
      <c r="AI151" s="184"/>
      <c r="AJ151" s="184"/>
      <c r="AK151" s="184"/>
      <c r="AL151" s="184"/>
      <c r="AM151" s="184"/>
      <c r="AN151" s="184"/>
      <c r="AO151" s="184"/>
      <c r="AP151" s="184"/>
      <c r="AQ151" s="184"/>
      <c r="AR151" s="184"/>
      <c r="AS151" s="184"/>
      <c r="AT151" s="184"/>
      <c r="AU151" s="184"/>
      <c r="AV151" s="184"/>
      <c r="AW151" s="184"/>
      <c r="AX151" s="184"/>
      <c r="AY151" s="184"/>
      <c r="AZ151" s="184"/>
      <c r="BA151" s="184"/>
      <c r="BB151" s="184"/>
      <c r="BC151" s="184"/>
      <c r="BD151" s="184"/>
      <c r="BE151" s="184"/>
      <c r="BF151" s="184"/>
      <c r="BG151" s="184"/>
      <c r="BH151" s="184"/>
      <c r="BI151" s="185"/>
      <c r="BJ151" s="119">
        <f t="shared" si="460"/>
        <v>0</v>
      </c>
      <c r="BK151" s="11"/>
    </row>
    <row r="152" spans="1:63" ht="9.6" customHeight="1" x14ac:dyDescent="0.25">
      <c r="A152" s="120"/>
      <c r="B152" s="219"/>
      <c r="C152" s="174"/>
      <c r="D152" s="148"/>
      <c r="E152" s="173"/>
      <c r="F152" s="149"/>
      <c r="G152" s="149"/>
      <c r="H152" s="179"/>
      <c r="I152" s="180"/>
      <c r="J152" s="204">
        <f t="shared" si="458"/>
        <v>0</v>
      </c>
      <c r="K152" s="204">
        <f t="shared" si="459"/>
        <v>0</v>
      </c>
      <c r="L152" s="123"/>
      <c r="M152" s="124"/>
      <c r="N152" s="124"/>
      <c r="O152" s="128"/>
      <c r="P152" s="128"/>
      <c r="Q152" s="128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5"/>
      <c r="AE152" s="125"/>
      <c r="AF152" s="125"/>
      <c r="AG152" s="126"/>
      <c r="AH152" s="126"/>
      <c r="AI152" s="126"/>
      <c r="AJ152" s="126"/>
      <c r="AK152" s="126"/>
      <c r="AL152" s="126"/>
      <c r="AM152" s="126"/>
      <c r="AN152" s="126"/>
      <c r="AO152" s="126"/>
      <c r="AP152" s="126"/>
      <c r="AQ152" s="126"/>
      <c r="AR152" s="126"/>
      <c r="AS152" s="126"/>
      <c r="AT152" s="126"/>
      <c r="AU152" s="126"/>
      <c r="AV152" s="126"/>
      <c r="AW152" s="126"/>
      <c r="AX152" s="126"/>
      <c r="AY152" s="126"/>
      <c r="AZ152" s="126"/>
      <c r="BA152" s="126"/>
      <c r="BB152" s="126"/>
      <c r="BC152" s="126"/>
      <c r="BD152" s="126"/>
      <c r="BE152" s="126"/>
      <c r="BF152" s="126"/>
      <c r="BG152" s="126"/>
      <c r="BH152" s="126"/>
      <c r="BI152" s="127"/>
      <c r="BJ152" s="119">
        <f t="shared" si="460"/>
        <v>0</v>
      </c>
    </row>
    <row r="153" spans="1:63" ht="21.75" customHeight="1" x14ac:dyDescent="0.25">
      <c r="A153" s="193" t="str">
        <f>Empreendimentos!B83</f>
        <v>QAP04</v>
      </c>
      <c r="B153" s="154" t="str">
        <f>Empreendimentos!C83</f>
        <v>Mall</v>
      </c>
      <c r="C153" s="197" t="str">
        <f>$C$346</f>
        <v>Mall</v>
      </c>
      <c r="D153" s="188">
        <f>Empreendimentos!L83</f>
        <v>1</v>
      </c>
      <c r="E153" s="189">
        <f>Empreendimentos!M116</f>
        <v>0</v>
      </c>
      <c r="F153" s="190">
        <f>Empreendimentos!H83</f>
        <v>9927.4409599999999</v>
      </c>
      <c r="G153" s="190">
        <f>Empreendimentos!I83</f>
        <v>16274.493377049181</v>
      </c>
      <c r="H153" s="191">
        <f>F153*VLOOKUP(C153,$C$337:$E$351,2,FALSE)</f>
        <v>99274409.599999994</v>
      </c>
      <c r="I153" s="192">
        <f>G153*VLOOKUP(C153,$C$337:$E$351,3,FALSE)</f>
        <v>63470524.170491807</v>
      </c>
      <c r="J153" s="205">
        <f t="shared" si="458"/>
        <v>2.648711992513595E-2</v>
      </c>
      <c r="K153" s="205">
        <f t="shared" si="459"/>
        <v>2.8486805006423553E-2</v>
      </c>
      <c r="L153" s="181"/>
      <c r="M153" s="182"/>
      <c r="N153" s="182"/>
      <c r="O153" s="182"/>
      <c r="P153" s="183"/>
      <c r="Q153" s="183"/>
      <c r="R153" s="183"/>
      <c r="S153" s="183"/>
      <c r="T153" s="183"/>
      <c r="U153" s="183"/>
      <c r="V153" s="183"/>
      <c r="W153" s="183">
        <v>0.5</v>
      </c>
      <c r="X153" s="183"/>
      <c r="Y153" s="183"/>
      <c r="Z153" s="183"/>
      <c r="AA153" s="183"/>
      <c r="AB153" s="183"/>
      <c r="AC153" s="183">
        <v>0.5</v>
      </c>
      <c r="AD153" s="183"/>
      <c r="AE153" s="183"/>
      <c r="AF153" s="183"/>
      <c r="AG153" s="184"/>
      <c r="AH153" s="184"/>
      <c r="AI153" s="184"/>
      <c r="AJ153" s="184"/>
      <c r="AK153" s="184"/>
      <c r="AL153" s="184"/>
      <c r="AM153" s="184"/>
      <c r="AN153" s="184"/>
      <c r="AO153" s="184"/>
      <c r="AP153" s="184"/>
      <c r="AQ153" s="184"/>
      <c r="AR153" s="184"/>
      <c r="AS153" s="184"/>
      <c r="AT153" s="184"/>
      <c r="AU153" s="184"/>
      <c r="AV153" s="184"/>
      <c r="AW153" s="184"/>
      <c r="AX153" s="184"/>
      <c r="AY153" s="184"/>
      <c r="AZ153" s="184"/>
      <c r="BA153" s="184"/>
      <c r="BB153" s="184"/>
      <c r="BC153" s="184"/>
      <c r="BD153" s="184"/>
      <c r="BE153" s="184"/>
      <c r="BF153" s="184"/>
      <c r="BG153" s="184"/>
      <c r="BH153" s="184"/>
      <c r="BI153" s="185"/>
      <c r="BJ153" s="119">
        <f t="shared" si="460"/>
        <v>1</v>
      </c>
      <c r="BK153" s="11"/>
    </row>
    <row r="154" spans="1:63" ht="9.6" customHeight="1" x14ac:dyDescent="0.25">
      <c r="A154" s="120"/>
      <c r="B154" s="219"/>
      <c r="C154" s="174"/>
      <c r="D154" s="148"/>
      <c r="E154" s="173"/>
      <c r="F154" s="149"/>
      <c r="G154" s="149"/>
      <c r="H154" s="179"/>
      <c r="I154" s="180"/>
      <c r="J154" s="204">
        <f t="shared" si="458"/>
        <v>0</v>
      </c>
      <c r="K154" s="204">
        <f t="shared" si="459"/>
        <v>0</v>
      </c>
      <c r="L154" s="123"/>
      <c r="M154" s="124"/>
      <c r="N154" s="124"/>
      <c r="O154" s="128"/>
      <c r="P154" s="128"/>
      <c r="Q154" s="128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5"/>
      <c r="AE154" s="125"/>
      <c r="AF154" s="125"/>
      <c r="AG154" s="126"/>
      <c r="AH154" s="126"/>
      <c r="AI154" s="126"/>
      <c r="AJ154" s="126"/>
      <c r="AK154" s="126"/>
      <c r="AL154" s="126"/>
      <c r="AM154" s="126"/>
      <c r="AN154" s="126"/>
      <c r="AO154" s="126"/>
      <c r="AP154" s="126"/>
      <c r="AQ154" s="126"/>
      <c r="AR154" s="126"/>
      <c r="AS154" s="126"/>
      <c r="AT154" s="126"/>
      <c r="AU154" s="126"/>
      <c r="AV154" s="126"/>
      <c r="AW154" s="126"/>
      <c r="AX154" s="126"/>
      <c r="AY154" s="126"/>
      <c r="AZ154" s="126"/>
      <c r="BA154" s="126"/>
      <c r="BB154" s="126"/>
      <c r="BC154" s="126"/>
      <c r="BD154" s="126"/>
      <c r="BE154" s="126"/>
      <c r="BF154" s="126"/>
      <c r="BG154" s="126"/>
      <c r="BH154" s="126"/>
      <c r="BI154" s="127"/>
      <c r="BJ154" s="119">
        <f t="shared" si="460"/>
        <v>0</v>
      </c>
    </row>
    <row r="155" spans="1:63" ht="21.75" customHeight="1" x14ac:dyDescent="0.25">
      <c r="A155" s="193" t="str">
        <f>Empreendimentos!B85</f>
        <v>QAP05</v>
      </c>
      <c r="B155" s="154" t="str">
        <f>Empreendimentos!C85</f>
        <v>Residencial</v>
      </c>
      <c r="C155" s="197" t="str">
        <f>$C$340</f>
        <v>Luxo</v>
      </c>
      <c r="D155" s="188">
        <f>Empreendimentos!L85</f>
        <v>4</v>
      </c>
      <c r="E155" s="189">
        <f>Empreendimentos!M85</f>
        <v>115.7176840909091</v>
      </c>
      <c r="F155" s="190">
        <f>Empreendimentos!H85</f>
        <v>40732.624800000005</v>
      </c>
      <c r="G155" s="190">
        <f>Empreendimentos!I85</f>
        <v>66774.794754098373</v>
      </c>
      <c r="H155" s="191">
        <f>F155*VLOOKUP(C155,$C$337:$E$351,2,FALSE)</f>
        <v>386959935.60000002</v>
      </c>
      <c r="I155" s="192">
        <f>G155*VLOOKUP(C155,$C$337:$E$351,3,FALSE)</f>
        <v>262128199.53445911</v>
      </c>
      <c r="J155" s="205">
        <f t="shared" si="458"/>
        <v>0.10324366835076182</v>
      </c>
      <c r="K155" s="205">
        <f t="shared" si="459"/>
        <v>0.11764823127606387</v>
      </c>
      <c r="L155" s="181"/>
      <c r="M155" s="182">
        <f>M147</f>
        <v>0</v>
      </c>
      <c r="N155" s="182">
        <f t="shared" ref="N155:BI155" si="462">N147</f>
        <v>0</v>
      </c>
      <c r="O155" s="182">
        <f t="shared" si="462"/>
        <v>0</v>
      </c>
      <c r="P155" s="182">
        <f t="shared" si="462"/>
        <v>0</v>
      </c>
      <c r="Q155" s="182">
        <f t="shared" si="462"/>
        <v>0</v>
      </c>
      <c r="R155" s="182">
        <f t="shared" si="462"/>
        <v>0.01</v>
      </c>
      <c r="S155" s="182">
        <f t="shared" si="462"/>
        <v>0.01</v>
      </c>
      <c r="T155" s="182">
        <f t="shared" si="462"/>
        <v>0.01</v>
      </c>
      <c r="U155" s="182">
        <f t="shared" si="462"/>
        <v>1.2999999999999999E-2</v>
      </c>
      <c r="V155" s="182">
        <f t="shared" si="462"/>
        <v>0.02</v>
      </c>
      <c r="W155" s="182">
        <f t="shared" si="462"/>
        <v>2.1999999999999999E-2</v>
      </c>
      <c r="X155" s="182">
        <f t="shared" si="462"/>
        <v>2.5000000000000001E-2</v>
      </c>
      <c r="Y155" s="182">
        <f t="shared" si="462"/>
        <v>0.03</v>
      </c>
      <c r="Z155" s="182">
        <f t="shared" si="462"/>
        <v>0.03</v>
      </c>
      <c r="AA155" s="182">
        <f t="shared" si="462"/>
        <v>0.03</v>
      </c>
      <c r="AB155" s="182">
        <f t="shared" si="462"/>
        <v>0.03</v>
      </c>
      <c r="AC155" s="182">
        <f t="shared" si="462"/>
        <v>0.03</v>
      </c>
      <c r="AD155" s="182">
        <f t="shared" si="462"/>
        <v>0.03</v>
      </c>
      <c r="AE155" s="182">
        <f t="shared" si="462"/>
        <v>0.03</v>
      </c>
      <c r="AF155" s="182">
        <f t="shared" si="462"/>
        <v>0.03</v>
      </c>
      <c r="AG155" s="182">
        <f t="shared" si="462"/>
        <v>0.03</v>
      </c>
      <c r="AH155" s="182">
        <f t="shared" si="462"/>
        <v>0.03</v>
      </c>
      <c r="AI155" s="182">
        <f t="shared" si="462"/>
        <v>0.03</v>
      </c>
      <c r="AJ155" s="182">
        <f t="shared" si="462"/>
        <v>0.03</v>
      </c>
      <c r="AK155" s="182">
        <f t="shared" si="462"/>
        <v>0.03</v>
      </c>
      <c r="AL155" s="182">
        <f t="shared" si="462"/>
        <v>0.03</v>
      </c>
      <c r="AM155" s="182">
        <f t="shared" si="462"/>
        <v>0.03</v>
      </c>
      <c r="AN155" s="182">
        <f t="shared" si="462"/>
        <v>0.03</v>
      </c>
      <c r="AO155" s="182">
        <f t="shared" si="462"/>
        <v>0.02</v>
      </c>
      <c r="AP155" s="182">
        <f t="shared" si="462"/>
        <v>0.02</v>
      </c>
      <c r="AQ155" s="182">
        <f t="shared" si="462"/>
        <v>0.02</v>
      </c>
      <c r="AR155" s="182">
        <f t="shared" si="462"/>
        <v>0.02</v>
      </c>
      <c r="AS155" s="182">
        <f t="shared" si="462"/>
        <v>0.02</v>
      </c>
      <c r="AT155" s="182">
        <f t="shared" si="462"/>
        <v>0.02</v>
      </c>
      <c r="AU155" s="182">
        <f t="shared" si="462"/>
        <v>0.02</v>
      </c>
      <c r="AV155" s="182">
        <f t="shared" si="462"/>
        <v>0.02</v>
      </c>
      <c r="AW155" s="182">
        <f t="shared" si="462"/>
        <v>0.02</v>
      </c>
      <c r="AX155" s="182">
        <f t="shared" si="462"/>
        <v>0.02</v>
      </c>
      <c r="AY155" s="182">
        <f t="shared" si="462"/>
        <v>0.02</v>
      </c>
      <c r="AZ155" s="182">
        <f t="shared" si="462"/>
        <v>0.02</v>
      </c>
      <c r="BA155" s="182">
        <f t="shared" si="462"/>
        <v>0.02</v>
      </c>
      <c r="BB155" s="182">
        <f t="shared" si="462"/>
        <v>0.02</v>
      </c>
      <c r="BC155" s="182">
        <f t="shared" si="462"/>
        <v>0.02</v>
      </c>
      <c r="BD155" s="182">
        <f t="shared" si="462"/>
        <v>0.02</v>
      </c>
      <c r="BE155" s="182">
        <f t="shared" si="462"/>
        <v>0.02</v>
      </c>
      <c r="BF155" s="182">
        <f t="shared" si="462"/>
        <v>0.02</v>
      </c>
      <c r="BG155" s="182">
        <f t="shared" si="462"/>
        <v>0.02</v>
      </c>
      <c r="BH155" s="182">
        <f t="shared" si="462"/>
        <v>0.02</v>
      </c>
      <c r="BI155" s="185">
        <f t="shared" si="462"/>
        <v>0.01</v>
      </c>
      <c r="BJ155" s="119">
        <f t="shared" si="460"/>
        <v>1.0000000000000007</v>
      </c>
      <c r="BK155" s="11"/>
    </row>
    <row r="156" spans="1:63" ht="9.6" customHeight="1" x14ac:dyDescent="0.25">
      <c r="A156" s="120"/>
      <c r="B156" s="219"/>
      <c r="C156" s="174"/>
      <c r="D156" s="148"/>
      <c r="E156" s="173"/>
      <c r="F156" s="149"/>
      <c r="G156" s="149"/>
      <c r="H156" s="179"/>
      <c r="I156" s="180"/>
      <c r="J156" s="204">
        <f t="shared" si="458"/>
        <v>0</v>
      </c>
      <c r="K156" s="204">
        <f t="shared" si="459"/>
        <v>0</v>
      </c>
      <c r="L156" s="123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  <c r="AC156" s="124"/>
      <c r="AD156" s="124"/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  <c r="BA156" s="124"/>
      <c r="BB156" s="124"/>
      <c r="BC156" s="124"/>
      <c r="BD156" s="124"/>
      <c r="BE156" s="124"/>
      <c r="BF156" s="124"/>
      <c r="BG156" s="124"/>
      <c r="BH156" s="124"/>
      <c r="BI156" s="124"/>
      <c r="BJ156" s="119">
        <f t="shared" si="460"/>
        <v>0</v>
      </c>
    </row>
    <row r="157" spans="1:63" ht="21.75" customHeight="1" x14ac:dyDescent="0.25">
      <c r="A157" s="193" t="str">
        <f>Empreendimentos!B87</f>
        <v>QAP06</v>
      </c>
      <c r="B157" s="154" t="str">
        <f>Empreendimentos!C87</f>
        <v>Residencial</v>
      </c>
      <c r="C157" s="197" t="str">
        <f>$C$340</f>
        <v>Luxo</v>
      </c>
      <c r="D157" s="188">
        <f>Empreendimentos!L87</f>
        <v>3</v>
      </c>
      <c r="E157" s="189">
        <f>Empreendimentos!M87</f>
        <v>100.3672840909091</v>
      </c>
      <c r="F157" s="190">
        <f>Empreendimentos!H87</f>
        <v>26496.963</v>
      </c>
      <c r="G157" s="190">
        <f>Empreendimentos!I87</f>
        <v>43437.644262295085</v>
      </c>
      <c r="H157" s="191">
        <f>F157*VLOOKUP(C157,$C$337:$E$351,2,FALSE)</f>
        <v>251721148.5</v>
      </c>
      <c r="I157" s="192">
        <f>G157*VLOOKUP(C157,$C$337:$E$351,3,FALSE)</f>
        <v>170516907.23160025</v>
      </c>
      <c r="J157" s="205">
        <f t="shared" si="458"/>
        <v>6.716099622125031E-2</v>
      </c>
      <c r="K157" s="205">
        <f t="shared" si="459"/>
        <v>7.6531302523310682E-2</v>
      </c>
      <c r="L157" s="181"/>
      <c r="M157" s="182">
        <f>M147</f>
        <v>0</v>
      </c>
      <c r="N157" s="182">
        <f t="shared" ref="N157:BI157" si="463">N147</f>
        <v>0</v>
      </c>
      <c r="O157" s="182">
        <f t="shared" si="463"/>
        <v>0</v>
      </c>
      <c r="P157" s="182">
        <f t="shared" si="463"/>
        <v>0</v>
      </c>
      <c r="Q157" s="182">
        <f t="shared" si="463"/>
        <v>0</v>
      </c>
      <c r="R157" s="182">
        <f t="shared" si="463"/>
        <v>0.01</v>
      </c>
      <c r="S157" s="182">
        <f t="shared" si="463"/>
        <v>0.01</v>
      </c>
      <c r="T157" s="182">
        <f t="shared" si="463"/>
        <v>0.01</v>
      </c>
      <c r="U157" s="182">
        <f t="shared" si="463"/>
        <v>1.2999999999999999E-2</v>
      </c>
      <c r="V157" s="182">
        <f t="shared" si="463"/>
        <v>0.02</v>
      </c>
      <c r="W157" s="182">
        <f t="shared" si="463"/>
        <v>2.1999999999999999E-2</v>
      </c>
      <c r="X157" s="182">
        <f t="shared" si="463"/>
        <v>2.5000000000000001E-2</v>
      </c>
      <c r="Y157" s="182">
        <f t="shared" si="463"/>
        <v>0.03</v>
      </c>
      <c r="Z157" s="182">
        <f t="shared" si="463"/>
        <v>0.03</v>
      </c>
      <c r="AA157" s="182">
        <f t="shared" si="463"/>
        <v>0.03</v>
      </c>
      <c r="AB157" s="182">
        <f t="shared" si="463"/>
        <v>0.03</v>
      </c>
      <c r="AC157" s="182">
        <f t="shared" si="463"/>
        <v>0.03</v>
      </c>
      <c r="AD157" s="182">
        <f t="shared" si="463"/>
        <v>0.03</v>
      </c>
      <c r="AE157" s="182">
        <f t="shared" si="463"/>
        <v>0.03</v>
      </c>
      <c r="AF157" s="182">
        <f t="shared" si="463"/>
        <v>0.03</v>
      </c>
      <c r="AG157" s="182">
        <f t="shared" si="463"/>
        <v>0.03</v>
      </c>
      <c r="AH157" s="182">
        <f t="shared" si="463"/>
        <v>0.03</v>
      </c>
      <c r="AI157" s="182">
        <f t="shared" si="463"/>
        <v>0.03</v>
      </c>
      <c r="AJ157" s="182">
        <f t="shared" si="463"/>
        <v>0.03</v>
      </c>
      <c r="AK157" s="182">
        <f t="shared" si="463"/>
        <v>0.03</v>
      </c>
      <c r="AL157" s="182">
        <f t="shared" si="463"/>
        <v>0.03</v>
      </c>
      <c r="AM157" s="182">
        <f t="shared" si="463"/>
        <v>0.03</v>
      </c>
      <c r="AN157" s="182">
        <f t="shared" si="463"/>
        <v>0.03</v>
      </c>
      <c r="AO157" s="182">
        <f t="shared" si="463"/>
        <v>0.02</v>
      </c>
      <c r="AP157" s="182">
        <f t="shared" si="463"/>
        <v>0.02</v>
      </c>
      <c r="AQ157" s="182">
        <f t="shared" si="463"/>
        <v>0.02</v>
      </c>
      <c r="AR157" s="182">
        <f t="shared" si="463"/>
        <v>0.02</v>
      </c>
      <c r="AS157" s="182">
        <f t="shared" si="463"/>
        <v>0.02</v>
      </c>
      <c r="AT157" s="182">
        <f t="shared" si="463"/>
        <v>0.02</v>
      </c>
      <c r="AU157" s="182">
        <f t="shared" si="463"/>
        <v>0.02</v>
      </c>
      <c r="AV157" s="182">
        <f t="shared" si="463"/>
        <v>0.02</v>
      </c>
      <c r="AW157" s="182">
        <f t="shared" si="463"/>
        <v>0.02</v>
      </c>
      <c r="AX157" s="182">
        <f t="shared" si="463"/>
        <v>0.02</v>
      </c>
      <c r="AY157" s="182">
        <f t="shared" si="463"/>
        <v>0.02</v>
      </c>
      <c r="AZ157" s="182">
        <f t="shared" si="463"/>
        <v>0.02</v>
      </c>
      <c r="BA157" s="182">
        <f t="shared" si="463"/>
        <v>0.02</v>
      </c>
      <c r="BB157" s="182">
        <f t="shared" si="463"/>
        <v>0.02</v>
      </c>
      <c r="BC157" s="182">
        <f t="shared" si="463"/>
        <v>0.02</v>
      </c>
      <c r="BD157" s="182">
        <f t="shared" si="463"/>
        <v>0.02</v>
      </c>
      <c r="BE157" s="182">
        <f t="shared" si="463"/>
        <v>0.02</v>
      </c>
      <c r="BF157" s="182">
        <f t="shared" si="463"/>
        <v>0.02</v>
      </c>
      <c r="BG157" s="182">
        <f t="shared" si="463"/>
        <v>0.02</v>
      </c>
      <c r="BH157" s="182">
        <f t="shared" si="463"/>
        <v>0.02</v>
      </c>
      <c r="BI157" s="185">
        <f t="shared" si="463"/>
        <v>0.01</v>
      </c>
      <c r="BJ157" s="119">
        <f t="shared" si="460"/>
        <v>1.0000000000000007</v>
      </c>
      <c r="BK157" s="11"/>
    </row>
    <row r="158" spans="1:63" ht="9.6" customHeight="1" x14ac:dyDescent="0.25">
      <c r="A158" s="120"/>
      <c r="B158" s="219"/>
      <c r="C158" s="174"/>
      <c r="D158" s="148"/>
      <c r="E158" s="173"/>
      <c r="F158" s="149"/>
      <c r="G158" s="149"/>
      <c r="H158" s="179"/>
      <c r="I158" s="180"/>
      <c r="J158" s="204">
        <f t="shared" si="458"/>
        <v>0</v>
      </c>
      <c r="K158" s="204">
        <f t="shared" si="459"/>
        <v>0</v>
      </c>
      <c r="L158" s="123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  <c r="AC158" s="124"/>
      <c r="AD158" s="124"/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  <c r="BA158" s="124"/>
      <c r="BB158" s="124"/>
      <c r="BC158" s="124"/>
      <c r="BD158" s="124"/>
      <c r="BE158" s="124"/>
      <c r="BF158" s="124"/>
      <c r="BG158" s="124"/>
      <c r="BH158" s="124"/>
      <c r="BI158" s="124"/>
      <c r="BJ158" s="119">
        <f t="shared" si="460"/>
        <v>0</v>
      </c>
    </row>
    <row r="159" spans="1:63" ht="21.75" customHeight="1" x14ac:dyDescent="0.25">
      <c r="A159" s="193" t="str">
        <f>Empreendimentos!B89</f>
        <v>QAP07</v>
      </c>
      <c r="B159" s="154" t="str">
        <f>Empreendimentos!C89</f>
        <v>Residencial</v>
      </c>
      <c r="C159" s="197" t="str">
        <f>$C$339</f>
        <v>Médio</v>
      </c>
      <c r="D159" s="188">
        <f>Empreendimentos!L89</f>
        <v>4</v>
      </c>
      <c r="E159" s="189">
        <f>Empreendimentos!M89</f>
        <v>93.755942386363643</v>
      </c>
      <c r="F159" s="190">
        <f>Empreendimentos!H89</f>
        <v>33002.091720000004</v>
      </c>
      <c r="G159" s="190">
        <f>Empreendimentos!I89</f>
        <v>54101.789704918039</v>
      </c>
      <c r="H159" s="191">
        <f>F159*VLOOKUP(C159,$C$337:$E$351,2,FALSE)</f>
        <v>297018825.48000002</v>
      </c>
      <c r="I159" s="192">
        <f>G159*VLOOKUP(C159,$C$337:$E$351,3,FALSE)</f>
        <v>163368929.14766821</v>
      </c>
      <c r="J159" s="205">
        <f t="shared" si="458"/>
        <v>7.9246739237337008E-2</v>
      </c>
      <c r="K159" s="205">
        <f t="shared" si="459"/>
        <v>7.3323151014742738E-2</v>
      </c>
      <c r="L159" s="181"/>
      <c r="M159" s="182">
        <f>M147</f>
        <v>0</v>
      </c>
      <c r="N159" s="182">
        <f t="shared" ref="N159:BI159" si="464">N147</f>
        <v>0</v>
      </c>
      <c r="O159" s="182">
        <f t="shared" si="464"/>
        <v>0</v>
      </c>
      <c r="P159" s="182">
        <f t="shared" si="464"/>
        <v>0</v>
      </c>
      <c r="Q159" s="182">
        <f t="shared" si="464"/>
        <v>0</v>
      </c>
      <c r="R159" s="182">
        <f t="shared" si="464"/>
        <v>0.01</v>
      </c>
      <c r="S159" s="182">
        <f t="shared" si="464"/>
        <v>0.01</v>
      </c>
      <c r="T159" s="182">
        <f t="shared" si="464"/>
        <v>0.01</v>
      </c>
      <c r="U159" s="182">
        <f t="shared" si="464"/>
        <v>1.2999999999999999E-2</v>
      </c>
      <c r="V159" s="182">
        <f t="shared" si="464"/>
        <v>0.02</v>
      </c>
      <c r="W159" s="182">
        <f t="shared" si="464"/>
        <v>2.1999999999999999E-2</v>
      </c>
      <c r="X159" s="182">
        <f t="shared" si="464"/>
        <v>2.5000000000000001E-2</v>
      </c>
      <c r="Y159" s="182">
        <f t="shared" si="464"/>
        <v>0.03</v>
      </c>
      <c r="Z159" s="182">
        <f t="shared" si="464"/>
        <v>0.03</v>
      </c>
      <c r="AA159" s="182">
        <f t="shared" si="464"/>
        <v>0.03</v>
      </c>
      <c r="AB159" s="182">
        <f t="shared" si="464"/>
        <v>0.03</v>
      </c>
      <c r="AC159" s="182">
        <f t="shared" si="464"/>
        <v>0.03</v>
      </c>
      <c r="AD159" s="182">
        <f t="shared" si="464"/>
        <v>0.03</v>
      </c>
      <c r="AE159" s="182">
        <f t="shared" si="464"/>
        <v>0.03</v>
      </c>
      <c r="AF159" s="182">
        <f t="shared" si="464"/>
        <v>0.03</v>
      </c>
      <c r="AG159" s="182">
        <f t="shared" si="464"/>
        <v>0.03</v>
      </c>
      <c r="AH159" s="182">
        <f t="shared" si="464"/>
        <v>0.03</v>
      </c>
      <c r="AI159" s="182">
        <f t="shared" si="464"/>
        <v>0.03</v>
      </c>
      <c r="AJ159" s="182">
        <f t="shared" si="464"/>
        <v>0.03</v>
      </c>
      <c r="AK159" s="182">
        <f t="shared" si="464"/>
        <v>0.03</v>
      </c>
      <c r="AL159" s="182">
        <f t="shared" si="464"/>
        <v>0.03</v>
      </c>
      <c r="AM159" s="182">
        <f t="shared" si="464"/>
        <v>0.03</v>
      </c>
      <c r="AN159" s="182">
        <f t="shared" si="464"/>
        <v>0.03</v>
      </c>
      <c r="AO159" s="182">
        <f t="shared" si="464"/>
        <v>0.02</v>
      </c>
      <c r="AP159" s="182">
        <f t="shared" si="464"/>
        <v>0.02</v>
      </c>
      <c r="AQ159" s="182">
        <f t="shared" si="464"/>
        <v>0.02</v>
      </c>
      <c r="AR159" s="182">
        <f t="shared" si="464"/>
        <v>0.02</v>
      </c>
      <c r="AS159" s="182">
        <f t="shared" si="464"/>
        <v>0.02</v>
      </c>
      <c r="AT159" s="182">
        <f t="shared" si="464"/>
        <v>0.02</v>
      </c>
      <c r="AU159" s="182">
        <f t="shared" si="464"/>
        <v>0.02</v>
      </c>
      <c r="AV159" s="182">
        <f t="shared" si="464"/>
        <v>0.02</v>
      </c>
      <c r="AW159" s="182">
        <f t="shared" si="464"/>
        <v>0.02</v>
      </c>
      <c r="AX159" s="182">
        <f t="shared" si="464"/>
        <v>0.02</v>
      </c>
      <c r="AY159" s="182">
        <f t="shared" si="464"/>
        <v>0.02</v>
      </c>
      <c r="AZ159" s="182">
        <f t="shared" si="464"/>
        <v>0.02</v>
      </c>
      <c r="BA159" s="182">
        <f t="shared" si="464"/>
        <v>0.02</v>
      </c>
      <c r="BB159" s="182">
        <f t="shared" si="464"/>
        <v>0.02</v>
      </c>
      <c r="BC159" s="182">
        <f t="shared" si="464"/>
        <v>0.02</v>
      </c>
      <c r="BD159" s="182">
        <f t="shared" si="464"/>
        <v>0.02</v>
      </c>
      <c r="BE159" s="182">
        <f t="shared" si="464"/>
        <v>0.02</v>
      </c>
      <c r="BF159" s="182">
        <f t="shared" si="464"/>
        <v>0.02</v>
      </c>
      <c r="BG159" s="182">
        <f t="shared" si="464"/>
        <v>0.02</v>
      </c>
      <c r="BH159" s="182">
        <f t="shared" si="464"/>
        <v>0.02</v>
      </c>
      <c r="BI159" s="185">
        <f t="shared" si="464"/>
        <v>0.01</v>
      </c>
      <c r="BJ159" s="119">
        <f t="shared" si="460"/>
        <v>1.0000000000000007</v>
      </c>
      <c r="BK159" s="11"/>
    </row>
    <row r="160" spans="1:63" ht="9.6" customHeight="1" x14ac:dyDescent="0.25">
      <c r="A160" s="120"/>
      <c r="B160" s="219"/>
      <c r="C160" s="174"/>
      <c r="D160" s="148"/>
      <c r="E160" s="173"/>
      <c r="F160" s="149"/>
      <c r="G160" s="149"/>
      <c r="H160" s="179"/>
      <c r="I160" s="180"/>
      <c r="J160" s="204">
        <f t="shared" si="458"/>
        <v>0</v>
      </c>
      <c r="K160" s="204">
        <f t="shared" si="459"/>
        <v>0</v>
      </c>
      <c r="L160" s="123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  <c r="BA160" s="124"/>
      <c r="BB160" s="124"/>
      <c r="BC160" s="124"/>
      <c r="BD160" s="124"/>
      <c r="BE160" s="124"/>
      <c r="BF160" s="124"/>
      <c r="BG160" s="124"/>
      <c r="BH160" s="124"/>
      <c r="BI160" s="124"/>
      <c r="BJ160" s="119">
        <f t="shared" si="460"/>
        <v>0</v>
      </c>
    </row>
    <row r="161" spans="1:63" ht="21.75" customHeight="1" x14ac:dyDescent="0.25">
      <c r="A161" s="193" t="str">
        <f>Empreendimentos!B91</f>
        <v>QAP08</v>
      </c>
      <c r="B161" s="154" t="str">
        <f>Empreendimentos!C91</f>
        <v>Residencial</v>
      </c>
      <c r="C161" s="197" t="str">
        <f>$C$339</f>
        <v>Médio</v>
      </c>
      <c r="D161" s="188">
        <f>Empreendimentos!L91</f>
        <v>6</v>
      </c>
      <c r="E161" s="189">
        <f>Empreendimentos!M91</f>
        <v>104.53412531250001</v>
      </c>
      <c r="F161" s="190">
        <f>Empreendimentos!H91</f>
        <v>55194.018165000009</v>
      </c>
      <c r="G161" s="190">
        <f>Empreendimentos!I91</f>
        <v>90481.996991803288</v>
      </c>
      <c r="H161" s="191">
        <f>F161*VLOOKUP(C161,$C$337:$E$351,2,FALSE)</f>
        <v>496746163.48500007</v>
      </c>
      <c r="I161" s="192">
        <f>G161*VLOOKUP(C161,$C$337:$E$351,3,FALSE)</f>
        <v>273224731.31327319</v>
      </c>
      <c r="J161" s="205">
        <f t="shared" si="458"/>
        <v>0.13253541630307902</v>
      </c>
      <c r="K161" s="205">
        <f t="shared" si="459"/>
        <v>0.12262857043604232</v>
      </c>
      <c r="L161" s="181"/>
      <c r="M161" s="182">
        <f>M147</f>
        <v>0</v>
      </c>
      <c r="N161" s="182">
        <f t="shared" ref="N161:BI161" si="465">N147</f>
        <v>0</v>
      </c>
      <c r="O161" s="182">
        <f t="shared" si="465"/>
        <v>0</v>
      </c>
      <c r="P161" s="182">
        <f t="shared" si="465"/>
        <v>0</v>
      </c>
      <c r="Q161" s="182">
        <f t="shared" si="465"/>
        <v>0</v>
      </c>
      <c r="R161" s="182">
        <f t="shared" si="465"/>
        <v>0.01</v>
      </c>
      <c r="S161" s="182">
        <f t="shared" si="465"/>
        <v>0.01</v>
      </c>
      <c r="T161" s="182">
        <f t="shared" si="465"/>
        <v>0.01</v>
      </c>
      <c r="U161" s="182">
        <f t="shared" si="465"/>
        <v>1.2999999999999999E-2</v>
      </c>
      <c r="V161" s="182">
        <f t="shared" si="465"/>
        <v>0.02</v>
      </c>
      <c r="W161" s="182">
        <f t="shared" si="465"/>
        <v>2.1999999999999999E-2</v>
      </c>
      <c r="X161" s="182">
        <f t="shared" si="465"/>
        <v>2.5000000000000001E-2</v>
      </c>
      <c r="Y161" s="182">
        <f t="shared" si="465"/>
        <v>0.03</v>
      </c>
      <c r="Z161" s="182">
        <f t="shared" si="465"/>
        <v>0.03</v>
      </c>
      <c r="AA161" s="182">
        <f t="shared" si="465"/>
        <v>0.03</v>
      </c>
      <c r="AB161" s="182">
        <f t="shared" si="465"/>
        <v>0.03</v>
      </c>
      <c r="AC161" s="182">
        <f t="shared" si="465"/>
        <v>0.03</v>
      </c>
      <c r="AD161" s="182">
        <f t="shared" si="465"/>
        <v>0.03</v>
      </c>
      <c r="AE161" s="182">
        <f t="shared" si="465"/>
        <v>0.03</v>
      </c>
      <c r="AF161" s="182">
        <f t="shared" si="465"/>
        <v>0.03</v>
      </c>
      <c r="AG161" s="182">
        <f t="shared" si="465"/>
        <v>0.03</v>
      </c>
      <c r="AH161" s="182">
        <f t="shared" si="465"/>
        <v>0.03</v>
      </c>
      <c r="AI161" s="182">
        <f t="shared" si="465"/>
        <v>0.03</v>
      </c>
      <c r="AJ161" s="182">
        <f t="shared" si="465"/>
        <v>0.03</v>
      </c>
      <c r="AK161" s="182">
        <f t="shared" si="465"/>
        <v>0.03</v>
      </c>
      <c r="AL161" s="182">
        <f t="shared" si="465"/>
        <v>0.03</v>
      </c>
      <c r="AM161" s="182">
        <f t="shared" si="465"/>
        <v>0.03</v>
      </c>
      <c r="AN161" s="182">
        <f t="shared" si="465"/>
        <v>0.03</v>
      </c>
      <c r="AO161" s="182">
        <f t="shared" si="465"/>
        <v>0.02</v>
      </c>
      <c r="AP161" s="182">
        <f t="shared" si="465"/>
        <v>0.02</v>
      </c>
      <c r="AQ161" s="182">
        <f t="shared" si="465"/>
        <v>0.02</v>
      </c>
      <c r="AR161" s="182">
        <f t="shared" si="465"/>
        <v>0.02</v>
      </c>
      <c r="AS161" s="182">
        <f t="shared" si="465"/>
        <v>0.02</v>
      </c>
      <c r="AT161" s="182">
        <f t="shared" si="465"/>
        <v>0.02</v>
      </c>
      <c r="AU161" s="182">
        <f t="shared" si="465"/>
        <v>0.02</v>
      </c>
      <c r="AV161" s="182">
        <f t="shared" si="465"/>
        <v>0.02</v>
      </c>
      <c r="AW161" s="182">
        <f t="shared" si="465"/>
        <v>0.02</v>
      </c>
      <c r="AX161" s="182">
        <f t="shared" si="465"/>
        <v>0.02</v>
      </c>
      <c r="AY161" s="182">
        <f t="shared" si="465"/>
        <v>0.02</v>
      </c>
      <c r="AZ161" s="182">
        <f t="shared" si="465"/>
        <v>0.02</v>
      </c>
      <c r="BA161" s="182">
        <f t="shared" si="465"/>
        <v>0.02</v>
      </c>
      <c r="BB161" s="182">
        <f t="shared" si="465"/>
        <v>0.02</v>
      </c>
      <c r="BC161" s="182">
        <f t="shared" si="465"/>
        <v>0.02</v>
      </c>
      <c r="BD161" s="182">
        <f t="shared" si="465"/>
        <v>0.02</v>
      </c>
      <c r="BE161" s="182">
        <f t="shared" si="465"/>
        <v>0.02</v>
      </c>
      <c r="BF161" s="182">
        <f t="shared" si="465"/>
        <v>0.02</v>
      </c>
      <c r="BG161" s="182">
        <f t="shared" si="465"/>
        <v>0.02</v>
      </c>
      <c r="BH161" s="182">
        <f t="shared" si="465"/>
        <v>0.02</v>
      </c>
      <c r="BI161" s="185">
        <f t="shared" si="465"/>
        <v>0.01</v>
      </c>
      <c r="BJ161" s="119">
        <f t="shared" si="460"/>
        <v>1.0000000000000007</v>
      </c>
      <c r="BK161" s="11"/>
    </row>
    <row r="162" spans="1:63" ht="9.6" customHeight="1" x14ac:dyDescent="0.25">
      <c r="A162" s="120"/>
      <c r="B162" s="219"/>
      <c r="C162" s="174"/>
      <c r="D162" s="148"/>
      <c r="E162" s="173"/>
      <c r="F162" s="149"/>
      <c r="G162" s="149"/>
      <c r="H162" s="179"/>
      <c r="I162" s="180"/>
      <c r="J162" s="204">
        <f t="shared" si="458"/>
        <v>0</v>
      </c>
      <c r="K162" s="204">
        <f t="shared" si="459"/>
        <v>0</v>
      </c>
      <c r="L162" s="123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  <c r="AC162" s="124"/>
      <c r="AD162" s="124"/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  <c r="BA162" s="124"/>
      <c r="BB162" s="124"/>
      <c r="BC162" s="124"/>
      <c r="BD162" s="124"/>
      <c r="BE162" s="124"/>
      <c r="BF162" s="124"/>
      <c r="BG162" s="124"/>
      <c r="BH162" s="124"/>
      <c r="BI162" s="124"/>
      <c r="BJ162" s="119">
        <f t="shared" si="460"/>
        <v>0</v>
      </c>
    </row>
    <row r="163" spans="1:63" ht="21.75" customHeight="1" x14ac:dyDescent="0.25">
      <c r="A163" s="193" t="str">
        <f>Empreendimentos!B93</f>
        <v>QAP09</v>
      </c>
      <c r="B163" s="154" t="str">
        <f>Empreendimentos!C93</f>
        <v>Residencial</v>
      </c>
      <c r="C163" s="197" t="str">
        <f>$C$339</f>
        <v>Médio</v>
      </c>
      <c r="D163" s="188">
        <f>Empreendimentos!L93</f>
        <v>4</v>
      </c>
      <c r="E163" s="189">
        <f>Empreendimentos!M93</f>
        <v>102.88662647727273</v>
      </c>
      <c r="F163" s="190">
        <f>Empreendimentos!H93</f>
        <v>36216.092519999998</v>
      </c>
      <c r="G163" s="190">
        <f>Empreendimentos!I93</f>
        <v>59370.643475409837</v>
      </c>
      <c r="H163" s="191">
        <f>F163*VLOOKUP(C163,$C$337:$E$351,2,FALSE)</f>
        <v>325944832.68000001</v>
      </c>
      <c r="I163" s="192">
        <f>G163*VLOOKUP(C163,$C$337:$E$351,3,FALSE)</f>
        <v>179279068.22099084</v>
      </c>
      <c r="J163" s="205">
        <f t="shared" si="458"/>
        <v>8.6964404089223929E-2</v>
      </c>
      <c r="K163" s="205">
        <f t="shared" si="459"/>
        <v>8.0463930696810237E-2</v>
      </c>
      <c r="L163" s="181"/>
      <c r="M163" s="182">
        <f>M147</f>
        <v>0</v>
      </c>
      <c r="N163" s="182">
        <f t="shared" ref="N163:BI163" si="466">N147</f>
        <v>0</v>
      </c>
      <c r="O163" s="182">
        <f t="shared" si="466"/>
        <v>0</v>
      </c>
      <c r="P163" s="182">
        <f t="shared" si="466"/>
        <v>0</v>
      </c>
      <c r="Q163" s="182">
        <f t="shared" si="466"/>
        <v>0</v>
      </c>
      <c r="R163" s="182">
        <f t="shared" si="466"/>
        <v>0.01</v>
      </c>
      <c r="S163" s="182">
        <f t="shared" si="466"/>
        <v>0.01</v>
      </c>
      <c r="T163" s="182">
        <f t="shared" si="466"/>
        <v>0.01</v>
      </c>
      <c r="U163" s="182">
        <f t="shared" si="466"/>
        <v>1.2999999999999999E-2</v>
      </c>
      <c r="V163" s="182">
        <f t="shared" si="466"/>
        <v>0.02</v>
      </c>
      <c r="W163" s="182">
        <f t="shared" si="466"/>
        <v>2.1999999999999999E-2</v>
      </c>
      <c r="X163" s="182">
        <f t="shared" si="466"/>
        <v>2.5000000000000001E-2</v>
      </c>
      <c r="Y163" s="182">
        <f t="shared" si="466"/>
        <v>0.03</v>
      </c>
      <c r="Z163" s="182">
        <f t="shared" si="466"/>
        <v>0.03</v>
      </c>
      <c r="AA163" s="182">
        <f t="shared" si="466"/>
        <v>0.03</v>
      </c>
      <c r="AB163" s="182">
        <f t="shared" si="466"/>
        <v>0.03</v>
      </c>
      <c r="AC163" s="182">
        <f t="shared" si="466"/>
        <v>0.03</v>
      </c>
      <c r="AD163" s="182">
        <f t="shared" si="466"/>
        <v>0.03</v>
      </c>
      <c r="AE163" s="182">
        <f t="shared" si="466"/>
        <v>0.03</v>
      </c>
      <c r="AF163" s="182">
        <f t="shared" si="466"/>
        <v>0.03</v>
      </c>
      <c r="AG163" s="182">
        <f t="shared" si="466"/>
        <v>0.03</v>
      </c>
      <c r="AH163" s="182">
        <f t="shared" si="466"/>
        <v>0.03</v>
      </c>
      <c r="AI163" s="182">
        <f t="shared" si="466"/>
        <v>0.03</v>
      </c>
      <c r="AJ163" s="182">
        <f t="shared" si="466"/>
        <v>0.03</v>
      </c>
      <c r="AK163" s="182">
        <f t="shared" si="466"/>
        <v>0.03</v>
      </c>
      <c r="AL163" s="182">
        <f t="shared" si="466"/>
        <v>0.03</v>
      </c>
      <c r="AM163" s="182">
        <f t="shared" si="466"/>
        <v>0.03</v>
      </c>
      <c r="AN163" s="182">
        <f t="shared" si="466"/>
        <v>0.03</v>
      </c>
      <c r="AO163" s="182">
        <f t="shared" si="466"/>
        <v>0.02</v>
      </c>
      <c r="AP163" s="182">
        <f t="shared" si="466"/>
        <v>0.02</v>
      </c>
      <c r="AQ163" s="182">
        <f t="shared" si="466"/>
        <v>0.02</v>
      </c>
      <c r="AR163" s="182">
        <f t="shared" si="466"/>
        <v>0.02</v>
      </c>
      <c r="AS163" s="182">
        <f t="shared" si="466"/>
        <v>0.02</v>
      </c>
      <c r="AT163" s="182">
        <f t="shared" si="466"/>
        <v>0.02</v>
      </c>
      <c r="AU163" s="182">
        <f t="shared" si="466"/>
        <v>0.02</v>
      </c>
      <c r="AV163" s="182">
        <f t="shared" si="466"/>
        <v>0.02</v>
      </c>
      <c r="AW163" s="182">
        <f t="shared" si="466"/>
        <v>0.02</v>
      </c>
      <c r="AX163" s="182">
        <f t="shared" si="466"/>
        <v>0.02</v>
      </c>
      <c r="AY163" s="182">
        <f t="shared" si="466"/>
        <v>0.02</v>
      </c>
      <c r="AZ163" s="182">
        <f t="shared" si="466"/>
        <v>0.02</v>
      </c>
      <c r="BA163" s="182">
        <f t="shared" si="466"/>
        <v>0.02</v>
      </c>
      <c r="BB163" s="182">
        <f t="shared" si="466"/>
        <v>0.02</v>
      </c>
      <c r="BC163" s="182">
        <f t="shared" si="466"/>
        <v>0.02</v>
      </c>
      <c r="BD163" s="182">
        <f t="shared" si="466"/>
        <v>0.02</v>
      </c>
      <c r="BE163" s="182">
        <f t="shared" si="466"/>
        <v>0.02</v>
      </c>
      <c r="BF163" s="182">
        <f t="shared" si="466"/>
        <v>0.02</v>
      </c>
      <c r="BG163" s="182">
        <f t="shared" si="466"/>
        <v>0.02</v>
      </c>
      <c r="BH163" s="182">
        <f t="shared" si="466"/>
        <v>0.02</v>
      </c>
      <c r="BI163" s="185">
        <f t="shared" si="466"/>
        <v>0.01</v>
      </c>
      <c r="BJ163" s="119">
        <f t="shared" si="460"/>
        <v>1.0000000000000007</v>
      </c>
      <c r="BK163" s="11"/>
    </row>
    <row r="164" spans="1:63" ht="9.6" customHeight="1" x14ac:dyDescent="0.25">
      <c r="A164" s="120"/>
      <c r="B164" s="219"/>
      <c r="C164" s="174"/>
      <c r="D164" s="148"/>
      <c r="E164" s="173"/>
      <c r="F164" s="149"/>
      <c r="G164" s="149"/>
      <c r="H164" s="179"/>
      <c r="I164" s="180"/>
      <c r="J164" s="204">
        <f t="shared" si="458"/>
        <v>0</v>
      </c>
      <c r="K164" s="204">
        <f t="shared" si="459"/>
        <v>0</v>
      </c>
      <c r="L164" s="123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  <c r="AC164" s="124"/>
      <c r="AD164" s="124"/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  <c r="BA164" s="124"/>
      <c r="BB164" s="124"/>
      <c r="BC164" s="124"/>
      <c r="BD164" s="124"/>
      <c r="BE164" s="124"/>
      <c r="BF164" s="124"/>
      <c r="BG164" s="124"/>
      <c r="BH164" s="124"/>
      <c r="BI164" s="124"/>
      <c r="BJ164" s="119">
        <f t="shared" si="460"/>
        <v>0</v>
      </c>
    </row>
    <row r="165" spans="1:63" ht="21.75" customHeight="1" x14ac:dyDescent="0.25">
      <c r="A165" s="193" t="str">
        <f>Empreendimentos!B95</f>
        <v>QAP10</v>
      </c>
      <c r="B165" s="154" t="str">
        <f>Empreendimentos!C95</f>
        <v>Residencial</v>
      </c>
      <c r="C165" s="197" t="str">
        <f>$C$339</f>
        <v>Médio</v>
      </c>
      <c r="D165" s="188">
        <f>Empreendimentos!L95</f>
        <v>7</v>
      </c>
      <c r="E165" s="189">
        <f>Empreendimentos!M95</f>
        <v>114.01107165584418</v>
      </c>
      <c r="F165" s="190">
        <f>Empreendimentos!H95</f>
        <v>70230.820140000011</v>
      </c>
      <c r="G165" s="190">
        <f>Empreendimentos!I95</f>
        <v>115132.4920327869</v>
      </c>
      <c r="H165" s="191">
        <f>F165*VLOOKUP(C165,$C$337:$E$351,2,FALSE)</f>
        <v>632077381.26000011</v>
      </c>
      <c r="I165" s="192">
        <f>G165*VLOOKUP(C165,$C$337:$E$351,3,FALSE)</f>
        <v>347660808.1929872</v>
      </c>
      <c r="J165" s="205">
        <f t="shared" si="458"/>
        <v>0.16864274959535494</v>
      </c>
      <c r="K165" s="205">
        <f t="shared" si="459"/>
        <v>0.15603692865000182</v>
      </c>
      <c r="L165" s="181"/>
      <c r="M165" s="182">
        <f>M147</f>
        <v>0</v>
      </c>
      <c r="N165" s="182">
        <f t="shared" ref="N165:BI165" si="467">N147</f>
        <v>0</v>
      </c>
      <c r="O165" s="182">
        <f t="shared" si="467"/>
        <v>0</v>
      </c>
      <c r="P165" s="182">
        <f t="shared" si="467"/>
        <v>0</v>
      </c>
      <c r="Q165" s="182">
        <f t="shared" si="467"/>
        <v>0</v>
      </c>
      <c r="R165" s="182">
        <f t="shared" si="467"/>
        <v>0.01</v>
      </c>
      <c r="S165" s="182">
        <f t="shared" si="467"/>
        <v>0.01</v>
      </c>
      <c r="T165" s="182">
        <f t="shared" si="467"/>
        <v>0.01</v>
      </c>
      <c r="U165" s="182">
        <f t="shared" si="467"/>
        <v>1.2999999999999999E-2</v>
      </c>
      <c r="V165" s="182">
        <f t="shared" si="467"/>
        <v>0.02</v>
      </c>
      <c r="W165" s="182">
        <f t="shared" si="467"/>
        <v>2.1999999999999999E-2</v>
      </c>
      <c r="X165" s="182">
        <f t="shared" si="467"/>
        <v>2.5000000000000001E-2</v>
      </c>
      <c r="Y165" s="182">
        <f t="shared" si="467"/>
        <v>0.03</v>
      </c>
      <c r="Z165" s="182">
        <f t="shared" si="467"/>
        <v>0.03</v>
      </c>
      <c r="AA165" s="182">
        <f t="shared" si="467"/>
        <v>0.03</v>
      </c>
      <c r="AB165" s="182">
        <f t="shared" si="467"/>
        <v>0.03</v>
      </c>
      <c r="AC165" s="182">
        <f t="shared" si="467"/>
        <v>0.03</v>
      </c>
      <c r="AD165" s="182">
        <f t="shared" si="467"/>
        <v>0.03</v>
      </c>
      <c r="AE165" s="182">
        <f t="shared" si="467"/>
        <v>0.03</v>
      </c>
      <c r="AF165" s="182">
        <f t="shared" si="467"/>
        <v>0.03</v>
      </c>
      <c r="AG165" s="182">
        <f t="shared" si="467"/>
        <v>0.03</v>
      </c>
      <c r="AH165" s="182">
        <f t="shared" si="467"/>
        <v>0.03</v>
      </c>
      <c r="AI165" s="182">
        <f t="shared" si="467"/>
        <v>0.03</v>
      </c>
      <c r="AJ165" s="182">
        <f t="shared" si="467"/>
        <v>0.03</v>
      </c>
      <c r="AK165" s="182">
        <f t="shared" si="467"/>
        <v>0.03</v>
      </c>
      <c r="AL165" s="182">
        <f t="shared" si="467"/>
        <v>0.03</v>
      </c>
      <c r="AM165" s="182">
        <f t="shared" si="467"/>
        <v>0.03</v>
      </c>
      <c r="AN165" s="182">
        <f t="shared" si="467"/>
        <v>0.03</v>
      </c>
      <c r="AO165" s="182">
        <f t="shared" si="467"/>
        <v>0.02</v>
      </c>
      <c r="AP165" s="182">
        <f t="shared" si="467"/>
        <v>0.02</v>
      </c>
      <c r="AQ165" s="182">
        <f t="shared" si="467"/>
        <v>0.02</v>
      </c>
      <c r="AR165" s="182">
        <f t="shared" si="467"/>
        <v>0.02</v>
      </c>
      <c r="AS165" s="182">
        <f t="shared" si="467"/>
        <v>0.02</v>
      </c>
      <c r="AT165" s="182">
        <f t="shared" si="467"/>
        <v>0.02</v>
      </c>
      <c r="AU165" s="182">
        <f t="shared" si="467"/>
        <v>0.02</v>
      </c>
      <c r="AV165" s="182">
        <f t="shared" si="467"/>
        <v>0.02</v>
      </c>
      <c r="AW165" s="182">
        <f t="shared" si="467"/>
        <v>0.02</v>
      </c>
      <c r="AX165" s="182">
        <f t="shared" si="467"/>
        <v>0.02</v>
      </c>
      <c r="AY165" s="182">
        <f t="shared" si="467"/>
        <v>0.02</v>
      </c>
      <c r="AZ165" s="182">
        <f t="shared" si="467"/>
        <v>0.02</v>
      </c>
      <c r="BA165" s="182">
        <f t="shared" si="467"/>
        <v>0.02</v>
      </c>
      <c r="BB165" s="182">
        <f t="shared" si="467"/>
        <v>0.02</v>
      </c>
      <c r="BC165" s="182">
        <f t="shared" si="467"/>
        <v>0.02</v>
      </c>
      <c r="BD165" s="182">
        <f t="shared" si="467"/>
        <v>0.02</v>
      </c>
      <c r="BE165" s="182">
        <f t="shared" si="467"/>
        <v>0.02</v>
      </c>
      <c r="BF165" s="182">
        <f t="shared" si="467"/>
        <v>0.02</v>
      </c>
      <c r="BG165" s="182">
        <f t="shared" si="467"/>
        <v>0.02</v>
      </c>
      <c r="BH165" s="182">
        <f t="shared" si="467"/>
        <v>0.02</v>
      </c>
      <c r="BI165" s="185">
        <f t="shared" si="467"/>
        <v>0.01</v>
      </c>
      <c r="BJ165" s="119">
        <f t="shared" si="460"/>
        <v>1.0000000000000007</v>
      </c>
      <c r="BK165" s="11"/>
    </row>
    <row r="166" spans="1:63" ht="9.6" customHeight="1" x14ac:dyDescent="0.25">
      <c r="A166" s="120"/>
      <c r="B166" s="219"/>
      <c r="C166" s="174"/>
      <c r="D166" s="148"/>
      <c r="E166" s="173"/>
      <c r="F166" s="149"/>
      <c r="G166" s="149"/>
      <c r="H166" s="179"/>
      <c r="I166" s="180"/>
      <c r="J166" s="204">
        <f t="shared" si="458"/>
        <v>0</v>
      </c>
      <c r="K166" s="204">
        <f t="shared" si="459"/>
        <v>0</v>
      </c>
      <c r="L166" s="123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  <c r="AC166" s="124"/>
      <c r="AD166" s="124"/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  <c r="BA166" s="124"/>
      <c r="BB166" s="124"/>
      <c r="BC166" s="124"/>
      <c r="BD166" s="124"/>
      <c r="BE166" s="124"/>
      <c r="BF166" s="124"/>
      <c r="BG166" s="124"/>
      <c r="BH166" s="124"/>
      <c r="BI166" s="124"/>
      <c r="BJ166" s="119">
        <f t="shared" si="460"/>
        <v>0</v>
      </c>
    </row>
    <row r="167" spans="1:63" ht="21.75" customHeight="1" x14ac:dyDescent="0.25">
      <c r="A167" s="193" t="str">
        <f>Empreendimentos!B97</f>
        <v>QAP11</v>
      </c>
      <c r="B167" s="154" t="str">
        <f>Empreendimentos!C97</f>
        <v>Residencial</v>
      </c>
      <c r="C167" s="197" t="str">
        <f>$C$339</f>
        <v>Médio</v>
      </c>
      <c r="D167" s="188">
        <f>Empreendimentos!L97</f>
        <v>5</v>
      </c>
      <c r="E167" s="189">
        <f>Empreendimentos!M97</f>
        <v>81.93354831818182</v>
      </c>
      <c r="F167" s="190">
        <f>Empreendimentos!H97</f>
        <v>36050.761259999999</v>
      </c>
      <c r="G167" s="190">
        <f>Empreendimentos!I97</f>
        <v>59099.608622950822</v>
      </c>
      <c r="H167" s="191">
        <f>F167*VLOOKUP(C167,$C$337:$E$351,2,FALSE)</f>
        <v>324456851.33999997</v>
      </c>
      <c r="I167" s="192">
        <f>G167*VLOOKUP(C167,$C$337:$E$351,3,FALSE)</f>
        <v>178460635.52496672</v>
      </c>
      <c r="J167" s="205">
        <f t="shared" si="458"/>
        <v>8.6567400064140862E-2</v>
      </c>
      <c r="K167" s="205">
        <f t="shared" si="459"/>
        <v>8.0096602193899274E-2</v>
      </c>
      <c r="L167" s="181"/>
      <c r="M167" s="182">
        <f>M147</f>
        <v>0</v>
      </c>
      <c r="N167" s="182">
        <f t="shared" ref="N167:BI167" si="468">N147</f>
        <v>0</v>
      </c>
      <c r="O167" s="182">
        <f t="shared" si="468"/>
        <v>0</v>
      </c>
      <c r="P167" s="182">
        <f t="shared" si="468"/>
        <v>0</v>
      </c>
      <c r="Q167" s="182">
        <f t="shared" si="468"/>
        <v>0</v>
      </c>
      <c r="R167" s="182">
        <f t="shared" si="468"/>
        <v>0.01</v>
      </c>
      <c r="S167" s="182">
        <f t="shared" si="468"/>
        <v>0.01</v>
      </c>
      <c r="T167" s="182">
        <f t="shared" si="468"/>
        <v>0.01</v>
      </c>
      <c r="U167" s="182">
        <f t="shared" si="468"/>
        <v>1.2999999999999999E-2</v>
      </c>
      <c r="V167" s="182">
        <f t="shared" si="468"/>
        <v>0.02</v>
      </c>
      <c r="W167" s="182">
        <f t="shared" si="468"/>
        <v>2.1999999999999999E-2</v>
      </c>
      <c r="X167" s="182">
        <f t="shared" si="468"/>
        <v>2.5000000000000001E-2</v>
      </c>
      <c r="Y167" s="182">
        <f t="shared" si="468"/>
        <v>0.03</v>
      </c>
      <c r="Z167" s="182">
        <f t="shared" si="468"/>
        <v>0.03</v>
      </c>
      <c r="AA167" s="182">
        <f t="shared" si="468"/>
        <v>0.03</v>
      </c>
      <c r="AB167" s="182">
        <f t="shared" si="468"/>
        <v>0.03</v>
      </c>
      <c r="AC167" s="182">
        <f t="shared" si="468"/>
        <v>0.03</v>
      </c>
      <c r="AD167" s="182">
        <f t="shared" si="468"/>
        <v>0.03</v>
      </c>
      <c r="AE167" s="182">
        <f t="shared" si="468"/>
        <v>0.03</v>
      </c>
      <c r="AF167" s="182">
        <f t="shared" si="468"/>
        <v>0.03</v>
      </c>
      <c r="AG167" s="182">
        <f t="shared" si="468"/>
        <v>0.03</v>
      </c>
      <c r="AH167" s="182">
        <f t="shared" si="468"/>
        <v>0.03</v>
      </c>
      <c r="AI167" s="182">
        <f t="shared" si="468"/>
        <v>0.03</v>
      </c>
      <c r="AJ167" s="182">
        <f t="shared" si="468"/>
        <v>0.03</v>
      </c>
      <c r="AK167" s="182">
        <f t="shared" si="468"/>
        <v>0.03</v>
      </c>
      <c r="AL167" s="182">
        <f t="shared" si="468"/>
        <v>0.03</v>
      </c>
      <c r="AM167" s="182">
        <f t="shared" si="468"/>
        <v>0.03</v>
      </c>
      <c r="AN167" s="182">
        <f t="shared" si="468"/>
        <v>0.03</v>
      </c>
      <c r="AO167" s="182">
        <f t="shared" si="468"/>
        <v>0.02</v>
      </c>
      <c r="AP167" s="182">
        <f t="shared" si="468"/>
        <v>0.02</v>
      </c>
      <c r="AQ167" s="182">
        <f t="shared" si="468"/>
        <v>0.02</v>
      </c>
      <c r="AR167" s="182">
        <f t="shared" si="468"/>
        <v>0.02</v>
      </c>
      <c r="AS167" s="182">
        <f t="shared" si="468"/>
        <v>0.02</v>
      </c>
      <c r="AT167" s="182">
        <f t="shared" si="468"/>
        <v>0.02</v>
      </c>
      <c r="AU167" s="182">
        <f t="shared" si="468"/>
        <v>0.02</v>
      </c>
      <c r="AV167" s="182">
        <f t="shared" si="468"/>
        <v>0.02</v>
      </c>
      <c r="AW167" s="182">
        <f t="shared" si="468"/>
        <v>0.02</v>
      </c>
      <c r="AX167" s="182">
        <f t="shared" si="468"/>
        <v>0.02</v>
      </c>
      <c r="AY167" s="182">
        <f t="shared" si="468"/>
        <v>0.02</v>
      </c>
      <c r="AZ167" s="182">
        <f t="shared" si="468"/>
        <v>0.02</v>
      </c>
      <c r="BA167" s="182">
        <f t="shared" si="468"/>
        <v>0.02</v>
      </c>
      <c r="BB167" s="182">
        <f t="shared" si="468"/>
        <v>0.02</v>
      </c>
      <c r="BC167" s="182">
        <f t="shared" si="468"/>
        <v>0.02</v>
      </c>
      <c r="BD167" s="182">
        <f t="shared" si="468"/>
        <v>0.02</v>
      </c>
      <c r="BE167" s="182">
        <f t="shared" si="468"/>
        <v>0.02</v>
      </c>
      <c r="BF167" s="182">
        <f t="shared" si="468"/>
        <v>0.02</v>
      </c>
      <c r="BG167" s="182">
        <f t="shared" si="468"/>
        <v>0.02</v>
      </c>
      <c r="BH167" s="182">
        <f t="shared" si="468"/>
        <v>0.02</v>
      </c>
      <c r="BI167" s="185">
        <f t="shared" si="468"/>
        <v>0.01</v>
      </c>
      <c r="BJ167" s="119">
        <f t="shared" si="460"/>
        <v>1.0000000000000007</v>
      </c>
      <c r="BK167" s="11"/>
    </row>
    <row r="168" spans="1:63" ht="9.6" customHeight="1" x14ac:dyDescent="0.25">
      <c r="A168" s="120"/>
      <c r="B168" s="219"/>
      <c r="C168" s="174"/>
      <c r="D168" s="148"/>
      <c r="E168" s="173"/>
      <c r="F168" s="149"/>
      <c r="G168" s="149"/>
      <c r="H168" s="179"/>
      <c r="I168" s="180"/>
      <c r="J168" s="204">
        <f t="shared" si="458"/>
        <v>0</v>
      </c>
      <c r="K168" s="204">
        <f t="shared" si="459"/>
        <v>0</v>
      </c>
      <c r="L168" s="123"/>
      <c r="M168" s="124"/>
      <c r="N168" s="124"/>
      <c r="O168" s="128"/>
      <c r="P168" s="128"/>
      <c r="Q168" s="128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5"/>
      <c r="AE168" s="125"/>
      <c r="AF168" s="125"/>
      <c r="AG168" s="126"/>
      <c r="AH168" s="126"/>
      <c r="AI168" s="126"/>
      <c r="AJ168" s="126"/>
      <c r="AK168" s="126"/>
      <c r="AL168" s="126"/>
      <c r="AM168" s="126"/>
      <c r="AN168" s="126"/>
      <c r="AO168" s="126"/>
      <c r="AP168" s="126"/>
      <c r="AQ168" s="126"/>
      <c r="AR168" s="126"/>
      <c r="AS168" s="126"/>
      <c r="AT168" s="126"/>
      <c r="AU168" s="126"/>
      <c r="AV168" s="126"/>
      <c r="AW168" s="126"/>
      <c r="AX168" s="126"/>
      <c r="AY168" s="126"/>
      <c r="AZ168" s="126"/>
      <c r="BA168" s="126"/>
      <c r="BB168" s="126"/>
      <c r="BC168" s="126"/>
      <c r="BD168" s="126"/>
      <c r="BE168" s="126"/>
      <c r="BF168" s="126"/>
      <c r="BG168" s="126"/>
      <c r="BH168" s="126"/>
      <c r="BI168" s="127"/>
      <c r="BJ168" s="119">
        <f t="shared" si="460"/>
        <v>0</v>
      </c>
    </row>
    <row r="169" spans="1:63" ht="21.75" customHeight="1" x14ac:dyDescent="0.25">
      <c r="A169" s="193" t="str">
        <f>Empreendimentos!B99</f>
        <v>QAP12</v>
      </c>
      <c r="B169" s="154" t="str">
        <f>Empreendimentos!C99</f>
        <v>Área publica</v>
      </c>
      <c r="C169" s="197"/>
      <c r="D169" s="188"/>
      <c r="E169" s="189">
        <f>Empreendimentos!D99</f>
        <v>4195.1554999999998</v>
      </c>
      <c r="F169" s="190"/>
      <c r="G169" s="190"/>
      <c r="H169" s="191"/>
      <c r="I169" s="191"/>
      <c r="J169" s="205">
        <f t="shared" si="458"/>
        <v>0</v>
      </c>
      <c r="K169" s="205">
        <f t="shared" si="459"/>
        <v>0</v>
      </c>
      <c r="L169" s="181"/>
      <c r="M169" s="182"/>
      <c r="N169" s="182"/>
      <c r="O169" s="182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  <c r="AA169" s="183"/>
      <c r="AB169" s="183"/>
      <c r="AC169" s="183"/>
      <c r="AD169" s="183"/>
      <c r="AE169" s="183"/>
      <c r="AF169" s="183"/>
      <c r="AG169" s="184"/>
      <c r="AH169" s="184"/>
      <c r="AI169" s="184"/>
      <c r="AJ169" s="184"/>
      <c r="AK169" s="184"/>
      <c r="AL169" s="184"/>
      <c r="AM169" s="184"/>
      <c r="AN169" s="184"/>
      <c r="AO169" s="184"/>
      <c r="AP169" s="184"/>
      <c r="AQ169" s="184"/>
      <c r="AR169" s="184"/>
      <c r="AS169" s="184"/>
      <c r="AT169" s="184"/>
      <c r="AU169" s="184"/>
      <c r="AV169" s="184"/>
      <c r="AW169" s="184"/>
      <c r="AX169" s="184"/>
      <c r="AY169" s="184"/>
      <c r="AZ169" s="184"/>
      <c r="BA169" s="184"/>
      <c r="BB169" s="184"/>
      <c r="BC169" s="184"/>
      <c r="BD169" s="184"/>
      <c r="BE169" s="184"/>
      <c r="BF169" s="184"/>
      <c r="BG169" s="184"/>
      <c r="BH169" s="184"/>
      <c r="BI169" s="185"/>
      <c r="BJ169" s="119">
        <f t="shared" si="460"/>
        <v>0</v>
      </c>
      <c r="BK169" s="11"/>
    </row>
    <row r="170" spans="1:63" ht="9.6" customHeight="1" x14ac:dyDescent="0.25">
      <c r="A170" s="120"/>
      <c r="B170" s="219"/>
      <c r="C170" s="174"/>
      <c r="D170" s="148"/>
      <c r="E170" s="173"/>
      <c r="F170" s="149"/>
      <c r="G170" s="149"/>
      <c r="H170" s="179"/>
      <c r="I170" s="180"/>
      <c r="J170" s="204">
        <f t="shared" si="458"/>
        <v>0</v>
      </c>
      <c r="K170" s="204">
        <f t="shared" si="459"/>
        <v>0</v>
      </c>
      <c r="L170" s="123"/>
      <c r="M170" s="124"/>
      <c r="N170" s="124"/>
      <c r="O170" s="128"/>
      <c r="P170" s="128"/>
      <c r="Q170" s="128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5"/>
      <c r="AE170" s="125"/>
      <c r="AF170" s="125"/>
      <c r="AG170" s="126"/>
      <c r="AH170" s="126"/>
      <c r="AI170" s="126"/>
      <c r="AJ170" s="126"/>
      <c r="AK170" s="126"/>
      <c r="AL170" s="126"/>
      <c r="AM170" s="126"/>
      <c r="AN170" s="126"/>
      <c r="AO170" s="126"/>
      <c r="AP170" s="126"/>
      <c r="AQ170" s="126"/>
      <c r="AR170" s="126"/>
      <c r="AS170" s="126"/>
      <c r="AT170" s="126"/>
      <c r="AU170" s="126"/>
      <c r="AV170" s="126"/>
      <c r="AW170" s="126"/>
      <c r="AX170" s="126"/>
      <c r="AY170" s="126"/>
      <c r="AZ170" s="126"/>
      <c r="BA170" s="126"/>
      <c r="BB170" s="126"/>
      <c r="BC170" s="126"/>
      <c r="BD170" s="126"/>
      <c r="BE170" s="126"/>
      <c r="BF170" s="126"/>
      <c r="BG170" s="126"/>
      <c r="BH170" s="126"/>
      <c r="BI170" s="127"/>
      <c r="BJ170" s="119">
        <f t="shared" si="460"/>
        <v>0</v>
      </c>
    </row>
    <row r="171" spans="1:63" ht="21.75" customHeight="1" x14ac:dyDescent="0.25">
      <c r="A171" s="193" t="str">
        <f>Empreendimentos!B101</f>
        <v>QAPark</v>
      </c>
      <c r="B171" s="154" t="str">
        <f>Empreendimentos!C101</f>
        <v>Área publica</v>
      </c>
      <c r="C171" s="197" t="str">
        <f>$C$351</f>
        <v>Parque</v>
      </c>
      <c r="D171" s="188"/>
      <c r="E171" s="189">
        <f>Empreendimentos!D101</f>
        <v>30160.271100000002</v>
      </c>
      <c r="F171" s="190">
        <f>Empreendimentos!H101</f>
        <v>0</v>
      </c>
      <c r="G171" s="190">
        <f>E171</f>
        <v>30160.271100000002</v>
      </c>
      <c r="H171" s="191">
        <f>F171*VLOOKUP(C171,$C$337:$E$351,2,FALSE)</f>
        <v>0</v>
      </c>
      <c r="I171" s="192">
        <f>G171*VLOOKUP(C171,$C$337:$E$351,3,FALSE)</f>
        <v>4825643.3760000002</v>
      </c>
      <c r="J171" s="205">
        <f t="shared" si="458"/>
        <v>0</v>
      </c>
      <c r="K171" s="205">
        <f t="shared" si="459"/>
        <v>2.1658425494233049E-3</v>
      </c>
      <c r="L171" s="181"/>
      <c r="M171" s="182"/>
      <c r="N171" s="182"/>
      <c r="O171" s="182"/>
      <c r="P171" s="183"/>
      <c r="Q171" s="183"/>
      <c r="R171" s="183">
        <v>0.4</v>
      </c>
      <c r="S171" s="183"/>
      <c r="T171" s="183"/>
      <c r="U171" s="183"/>
      <c r="V171" s="183">
        <v>0.4</v>
      </c>
      <c r="W171" s="183"/>
      <c r="X171" s="183"/>
      <c r="Y171" s="183"/>
      <c r="Z171" s="183">
        <v>0.2</v>
      </c>
      <c r="AA171" s="183"/>
      <c r="AB171" s="183"/>
      <c r="AC171" s="183"/>
      <c r="AD171" s="183"/>
      <c r="AE171" s="183"/>
      <c r="AF171" s="183"/>
      <c r="AG171" s="184"/>
      <c r="AH171" s="184"/>
      <c r="AI171" s="184"/>
      <c r="AJ171" s="184"/>
      <c r="AK171" s="184"/>
      <c r="AL171" s="184"/>
      <c r="AM171" s="184"/>
      <c r="AN171" s="184"/>
      <c r="AO171" s="184"/>
      <c r="AP171" s="184"/>
      <c r="AQ171" s="184"/>
      <c r="AR171" s="184"/>
      <c r="AS171" s="184"/>
      <c r="AT171" s="184"/>
      <c r="AU171" s="184"/>
      <c r="AV171" s="184"/>
      <c r="AW171" s="184"/>
      <c r="AX171" s="184"/>
      <c r="AY171" s="184"/>
      <c r="AZ171" s="184"/>
      <c r="BA171" s="184"/>
      <c r="BB171" s="184"/>
      <c r="BC171" s="184"/>
      <c r="BD171" s="184"/>
      <c r="BE171" s="184"/>
      <c r="BF171" s="184"/>
      <c r="BG171" s="184"/>
      <c r="BH171" s="184"/>
      <c r="BI171" s="185"/>
      <c r="BJ171" s="119">
        <f t="shared" si="460"/>
        <v>1</v>
      </c>
      <c r="BK171" s="11"/>
    </row>
    <row r="172" spans="1:63" ht="9.6" customHeight="1" x14ac:dyDescent="0.25">
      <c r="A172" s="120"/>
      <c r="B172" s="219"/>
      <c r="C172" s="174"/>
      <c r="D172" s="148"/>
      <c r="E172" s="173"/>
      <c r="F172" s="149"/>
      <c r="G172" s="149"/>
      <c r="H172" s="179"/>
      <c r="I172" s="180"/>
      <c r="J172" s="204">
        <f t="shared" si="458"/>
        <v>0</v>
      </c>
      <c r="K172" s="204">
        <f t="shared" si="459"/>
        <v>0</v>
      </c>
      <c r="L172" s="123"/>
      <c r="M172" s="124"/>
      <c r="N172" s="124"/>
      <c r="O172" s="128"/>
      <c r="P172" s="128"/>
      <c r="Q172" s="128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5"/>
      <c r="AE172" s="125"/>
      <c r="AF172" s="125"/>
      <c r="AG172" s="126"/>
      <c r="AH172" s="126"/>
      <c r="AI172" s="126"/>
      <c r="AJ172" s="126"/>
      <c r="AK172" s="126"/>
      <c r="AL172" s="126"/>
      <c r="AM172" s="126"/>
      <c r="AN172" s="126"/>
      <c r="AO172" s="126"/>
      <c r="AP172" s="126"/>
      <c r="AQ172" s="126"/>
      <c r="AR172" s="126"/>
      <c r="AS172" s="126"/>
      <c r="AT172" s="126"/>
      <c r="AU172" s="126"/>
      <c r="AV172" s="126"/>
      <c r="AW172" s="126"/>
      <c r="AX172" s="126"/>
      <c r="AY172" s="126"/>
      <c r="AZ172" s="126"/>
      <c r="BA172" s="126"/>
      <c r="BB172" s="126"/>
      <c r="BC172" s="126"/>
      <c r="BD172" s="126"/>
      <c r="BE172" s="126"/>
      <c r="BF172" s="126"/>
      <c r="BG172" s="126"/>
      <c r="BH172" s="126"/>
      <c r="BI172" s="127"/>
      <c r="BJ172" s="119">
        <f t="shared" si="460"/>
        <v>0</v>
      </c>
    </row>
    <row r="173" spans="1:63" ht="21.75" customHeight="1" x14ac:dyDescent="0.25">
      <c r="A173" s="217"/>
      <c r="B173" s="218" t="s">
        <v>232</v>
      </c>
      <c r="C173" s="197" t="str">
        <f>$C$343</f>
        <v>Lote aberto</v>
      </c>
      <c r="D173" s="188"/>
      <c r="E173" s="189"/>
      <c r="F173" s="190"/>
      <c r="G173" s="190">
        <f>SUM(Empreendimentos!D77:D102)</f>
        <v>190980.7095</v>
      </c>
      <c r="H173" s="191">
        <f>F173*VLOOKUP(C173,$C$337:$E$351,2,FALSE)</f>
        <v>0</v>
      </c>
      <c r="I173" s="192">
        <f>G173*VLOOKUP(C173,$C$337:$E$351,3,FALSE)</f>
        <v>47745177.375</v>
      </c>
      <c r="J173" s="205">
        <f t="shared" si="458"/>
        <v>0</v>
      </c>
      <c r="K173" s="205">
        <f t="shared" si="459"/>
        <v>2.1428963690693144E-2</v>
      </c>
      <c r="L173" s="181"/>
      <c r="M173" s="182">
        <f>'Cronogramaa Fisico'!E37</f>
        <v>0</v>
      </c>
      <c r="N173" s="182">
        <f>'Cronogramaa Fisico'!F37</f>
        <v>0</v>
      </c>
      <c r="O173" s="182">
        <f>'Cronogramaa Fisico'!G37</f>
        <v>0</v>
      </c>
      <c r="P173" s="183">
        <f>'Cronogramaa Fisico'!H37</f>
        <v>0.05</v>
      </c>
      <c r="Q173" s="183">
        <v>0.2</v>
      </c>
      <c r="R173" s="183">
        <v>0.2</v>
      </c>
      <c r="S173" s="183">
        <f>'Cronogramaa Fisico'!K37</f>
        <v>0</v>
      </c>
      <c r="T173" s="183">
        <f>'Cronogramaa Fisico'!L37</f>
        <v>0</v>
      </c>
      <c r="U173" s="183">
        <f>'Cronogramaa Fisico'!M37</f>
        <v>0</v>
      </c>
      <c r="V173" s="183">
        <f>'Cronogramaa Fisico'!N37</f>
        <v>0</v>
      </c>
      <c r="W173" s="183">
        <f>'Cronogramaa Fisico'!O37</f>
        <v>0.2</v>
      </c>
      <c r="X173" s="183">
        <f>'Cronogramaa Fisico'!P37</f>
        <v>0.15</v>
      </c>
      <c r="Y173" s="183">
        <f>'Cronogramaa Fisico'!Q37</f>
        <v>0</v>
      </c>
      <c r="Z173" s="183">
        <f>'Cronogramaa Fisico'!R37</f>
        <v>0</v>
      </c>
      <c r="AA173" s="183">
        <f>'Cronogramaa Fisico'!S37</f>
        <v>0.15</v>
      </c>
      <c r="AB173" s="183">
        <v>0.1</v>
      </c>
      <c r="AC173" s="183">
        <f>'Cronogramaa Fisico'!U37</f>
        <v>0</v>
      </c>
      <c r="AD173" s="183">
        <f>'Cronogramaa Fisico'!V37</f>
        <v>0</v>
      </c>
      <c r="AE173" s="183">
        <f>'Cronogramaa Fisico'!W37</f>
        <v>0</v>
      </c>
      <c r="AF173" s="183">
        <f>'Cronogramaa Fisico'!X37</f>
        <v>0</v>
      </c>
      <c r="AG173" s="184">
        <f>'Cronogramaa Fisico'!Y37</f>
        <v>0</v>
      </c>
      <c r="AH173" s="184">
        <f>'Cronogramaa Fisico'!Z37</f>
        <v>0</v>
      </c>
      <c r="AI173" s="184">
        <f>'Cronogramaa Fisico'!AA37</f>
        <v>0</v>
      </c>
      <c r="AJ173" s="184"/>
      <c r="AK173" s="184"/>
      <c r="AL173" s="184"/>
      <c r="AM173" s="184"/>
      <c r="AN173" s="184"/>
      <c r="AO173" s="184"/>
      <c r="AP173" s="184"/>
      <c r="AQ173" s="184"/>
      <c r="AR173" s="184"/>
      <c r="AS173" s="184"/>
      <c r="AT173" s="184"/>
      <c r="AU173" s="184"/>
      <c r="AV173" s="184"/>
      <c r="AW173" s="184"/>
      <c r="AX173" s="184"/>
      <c r="AY173" s="184"/>
      <c r="AZ173" s="184"/>
      <c r="BA173" s="184"/>
      <c r="BB173" s="184"/>
      <c r="BC173" s="184"/>
      <c r="BD173" s="184"/>
      <c r="BE173" s="184"/>
      <c r="BF173" s="184"/>
      <c r="BG173" s="184"/>
      <c r="BH173" s="184"/>
      <c r="BI173" s="185"/>
      <c r="BJ173" s="119">
        <f t="shared" si="460"/>
        <v>1.05</v>
      </c>
      <c r="BK173" s="11"/>
    </row>
    <row r="174" spans="1:63" s="13" customFormat="1" ht="9.6" customHeight="1" x14ac:dyDescent="0.25">
      <c r="A174" s="130"/>
      <c r="B174" s="131"/>
      <c r="C174" s="131"/>
      <c r="D174" s="131"/>
      <c r="E174" s="131"/>
      <c r="F174" s="131"/>
      <c r="G174" s="131"/>
      <c r="H174" s="131"/>
      <c r="I174" s="132"/>
      <c r="J174" s="207">
        <f>H174/$H$42</f>
        <v>0</v>
      </c>
      <c r="K174" s="207">
        <f>I174/$H$42</f>
        <v>0</v>
      </c>
      <c r="L174" s="133"/>
      <c r="M174" s="134"/>
      <c r="N174" s="134"/>
      <c r="O174" s="134"/>
      <c r="P174" s="135"/>
      <c r="Q174" s="135"/>
      <c r="R174" s="135"/>
      <c r="S174" s="135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7"/>
      <c r="BD174" s="137"/>
      <c r="BE174" s="137"/>
      <c r="BF174" s="137"/>
      <c r="BG174" s="137"/>
      <c r="BH174" s="137"/>
      <c r="BI174" s="138"/>
      <c r="BJ174" s="119">
        <f>SUM(K174:AI174)</f>
        <v>0</v>
      </c>
    </row>
    <row r="175" spans="1:63" s="13" customFormat="1" ht="7.8" customHeight="1" x14ac:dyDescent="0.25">
      <c r="A175" s="139"/>
      <c r="B175" s="140"/>
      <c r="C175" s="140"/>
      <c r="D175" s="140"/>
      <c r="E175" s="140"/>
      <c r="F175" s="140"/>
      <c r="G175" s="140"/>
      <c r="H175" s="140"/>
      <c r="I175" s="141"/>
      <c r="J175" s="140"/>
      <c r="K175" s="140"/>
      <c r="L175" s="139"/>
      <c r="M175" s="139"/>
      <c r="N175" s="139"/>
      <c r="O175" s="139"/>
      <c r="P175" s="139"/>
      <c r="Q175" s="139"/>
      <c r="R175" s="139"/>
      <c r="S175" s="139"/>
      <c r="T175" s="142"/>
      <c r="U175" s="142"/>
      <c r="V175" s="142"/>
      <c r="W175" s="142"/>
      <c r="X175" s="142"/>
      <c r="Y175" s="142"/>
      <c r="Z175" s="142"/>
      <c r="AA175" s="142"/>
      <c r="AB175" s="142"/>
      <c r="AC175" s="142"/>
      <c r="AD175" s="142"/>
      <c r="AE175" s="142"/>
      <c r="AF175" s="142"/>
      <c r="AG175" s="142"/>
      <c r="AH175" s="142"/>
      <c r="AI175" s="142"/>
      <c r="AJ175" s="142"/>
      <c r="AK175" s="142"/>
      <c r="AL175" s="142"/>
      <c r="AM175" s="142"/>
      <c r="AN175" s="142"/>
      <c r="AO175" s="142"/>
      <c r="AP175" s="142"/>
      <c r="AQ175" s="142"/>
      <c r="AR175" s="142"/>
      <c r="AS175" s="142"/>
      <c r="AT175" s="142"/>
      <c r="AU175" s="142"/>
      <c r="AV175" s="142"/>
      <c r="AW175" s="142"/>
      <c r="AX175" s="142"/>
      <c r="AY175" s="142"/>
      <c r="AZ175" s="142"/>
      <c r="BA175" s="142"/>
      <c r="BB175" s="142"/>
      <c r="BC175" s="142"/>
      <c r="BD175" s="142"/>
      <c r="BE175" s="142"/>
      <c r="BF175" s="142"/>
      <c r="BG175" s="142"/>
      <c r="BH175" s="142"/>
      <c r="BI175" s="142"/>
      <c r="BJ175" s="143"/>
    </row>
    <row r="176" spans="1:63" s="144" customFormat="1" ht="18" customHeight="1" x14ac:dyDescent="0.25">
      <c r="A176" s="379" t="s">
        <v>223</v>
      </c>
      <c r="B176" s="380"/>
      <c r="C176" s="385" t="s">
        <v>168</v>
      </c>
      <c r="D176" s="386"/>
      <c r="E176" s="386"/>
      <c r="F176" s="386"/>
      <c r="G176" s="387"/>
      <c r="H176" s="390">
        <f>SUM(H147,H149,H151,H153,H155,H157,H159,H161,H163,H165,H167,H169,H171,H173)</f>
        <v>3748025828.4250002</v>
      </c>
      <c r="I176" s="388"/>
      <c r="J176" s="389">
        <f>SUM(J147,J149,J151,J153,J155,J157,J159,J161,J163,J165,J167,J169,J171,J173)</f>
        <v>1</v>
      </c>
      <c r="K176" s="389"/>
      <c r="L176" s="163">
        <f t="shared" ref="L176" si="469">SUMPRODUCT($H147:$H174,L147:L174)</f>
        <v>0</v>
      </c>
      <c r="M176" s="163">
        <f>SUMPRODUCT($H147:$H174,M147:M174)</f>
        <v>0</v>
      </c>
      <c r="N176" s="163">
        <f t="shared" ref="N176:BI176" si="470">SUMPRODUCT($H147:$H174,N147:N174)</f>
        <v>0</v>
      </c>
      <c r="O176" s="163">
        <f t="shared" si="470"/>
        <v>0</v>
      </c>
      <c r="P176" s="163">
        <f t="shared" si="470"/>
        <v>0</v>
      </c>
      <c r="Q176" s="163">
        <f t="shared" si="470"/>
        <v>0</v>
      </c>
      <c r="R176" s="163">
        <f t="shared" si="470"/>
        <v>36487514.188250005</v>
      </c>
      <c r="S176" s="163">
        <f t="shared" si="470"/>
        <v>36487514.188250005</v>
      </c>
      <c r="T176" s="163">
        <f t="shared" si="470"/>
        <v>36487514.188250005</v>
      </c>
      <c r="U176" s="163">
        <f t="shared" si="470"/>
        <v>47433768.444724999</v>
      </c>
      <c r="V176" s="163">
        <f t="shared" si="470"/>
        <v>72975028.37650001</v>
      </c>
      <c r="W176" s="163">
        <f t="shared" si="470"/>
        <v>129909736.01414999</v>
      </c>
      <c r="X176" s="163">
        <f t="shared" si="470"/>
        <v>91218785.470624998</v>
      </c>
      <c r="Y176" s="163">
        <f t="shared" si="470"/>
        <v>109462542.56475</v>
      </c>
      <c r="Z176" s="163">
        <f t="shared" si="470"/>
        <v>109462542.56475</v>
      </c>
      <c r="AA176" s="163">
        <f t="shared" si="470"/>
        <v>109462542.56475</v>
      </c>
      <c r="AB176" s="163">
        <f t="shared" si="470"/>
        <v>109462542.56475</v>
      </c>
      <c r="AC176" s="163">
        <f t="shared" si="470"/>
        <v>159099747.36475</v>
      </c>
      <c r="AD176" s="163">
        <f t="shared" si="470"/>
        <v>109462542.56475</v>
      </c>
      <c r="AE176" s="163">
        <f t="shared" si="470"/>
        <v>109462542.56475</v>
      </c>
      <c r="AF176" s="163">
        <f t="shared" si="470"/>
        <v>109462542.56475</v>
      </c>
      <c r="AG176" s="163">
        <f t="shared" si="470"/>
        <v>109462542.56475</v>
      </c>
      <c r="AH176" s="163">
        <f t="shared" si="470"/>
        <v>109462542.56475</v>
      </c>
      <c r="AI176" s="163">
        <f t="shared" si="470"/>
        <v>109462542.56475</v>
      </c>
      <c r="AJ176" s="163">
        <f t="shared" si="470"/>
        <v>109462542.56475</v>
      </c>
      <c r="AK176" s="163">
        <f t="shared" si="470"/>
        <v>109462542.56475</v>
      </c>
      <c r="AL176" s="163">
        <f t="shared" si="470"/>
        <v>109462542.56475</v>
      </c>
      <c r="AM176" s="163">
        <f t="shared" si="470"/>
        <v>109462542.56475</v>
      </c>
      <c r="AN176" s="163">
        <f t="shared" si="470"/>
        <v>109462542.56475</v>
      </c>
      <c r="AO176" s="163">
        <f t="shared" si="470"/>
        <v>72975028.37650001</v>
      </c>
      <c r="AP176" s="163">
        <f t="shared" si="470"/>
        <v>72975028.37650001</v>
      </c>
      <c r="AQ176" s="163">
        <f t="shared" si="470"/>
        <v>72975028.37650001</v>
      </c>
      <c r="AR176" s="163">
        <f t="shared" si="470"/>
        <v>72975028.37650001</v>
      </c>
      <c r="AS176" s="163">
        <f t="shared" si="470"/>
        <v>72975028.37650001</v>
      </c>
      <c r="AT176" s="163">
        <f t="shared" si="470"/>
        <v>72975028.37650001</v>
      </c>
      <c r="AU176" s="163">
        <f t="shared" si="470"/>
        <v>72975028.37650001</v>
      </c>
      <c r="AV176" s="163">
        <f t="shared" si="470"/>
        <v>72975028.37650001</v>
      </c>
      <c r="AW176" s="163">
        <f t="shared" si="470"/>
        <v>72975028.37650001</v>
      </c>
      <c r="AX176" s="163">
        <f t="shared" si="470"/>
        <v>72975028.37650001</v>
      </c>
      <c r="AY176" s="163">
        <f t="shared" si="470"/>
        <v>72975028.37650001</v>
      </c>
      <c r="AZ176" s="163">
        <f t="shared" si="470"/>
        <v>72975028.37650001</v>
      </c>
      <c r="BA176" s="163">
        <f t="shared" si="470"/>
        <v>72975028.37650001</v>
      </c>
      <c r="BB176" s="163">
        <f t="shared" si="470"/>
        <v>72975028.37650001</v>
      </c>
      <c r="BC176" s="163">
        <f t="shared" si="470"/>
        <v>72975028.37650001</v>
      </c>
      <c r="BD176" s="163">
        <f t="shared" si="470"/>
        <v>72975028.37650001</v>
      </c>
      <c r="BE176" s="163">
        <f t="shared" si="470"/>
        <v>72975028.37650001</v>
      </c>
      <c r="BF176" s="163">
        <f t="shared" si="470"/>
        <v>72975028.37650001</v>
      </c>
      <c r="BG176" s="163">
        <f t="shared" si="470"/>
        <v>72975028.37650001</v>
      </c>
      <c r="BH176" s="163">
        <f t="shared" si="470"/>
        <v>72975028.37650001</v>
      </c>
      <c r="BI176" s="163">
        <f t="shared" si="470"/>
        <v>36487514.188250005</v>
      </c>
    </row>
    <row r="177" spans="1:63" s="144" customFormat="1" ht="18" customHeight="1" x14ac:dyDescent="0.25">
      <c r="A177" s="381"/>
      <c r="B177" s="382"/>
      <c r="C177" s="385" t="s">
        <v>169</v>
      </c>
      <c r="D177" s="386"/>
      <c r="E177" s="386"/>
      <c r="F177" s="386"/>
      <c r="G177" s="387"/>
      <c r="H177" s="388"/>
      <c r="I177" s="388"/>
      <c r="J177" s="389"/>
      <c r="K177" s="389"/>
      <c r="L177" s="164">
        <f>L176</f>
        <v>0</v>
      </c>
      <c r="M177" s="164">
        <f>M176+L177</f>
        <v>0</v>
      </c>
      <c r="N177" s="164">
        <f t="shared" ref="N177:BI177" si="471">N176+M177</f>
        <v>0</v>
      </c>
      <c r="O177" s="164">
        <f t="shared" si="471"/>
        <v>0</v>
      </c>
      <c r="P177" s="164">
        <f t="shared" si="471"/>
        <v>0</v>
      </c>
      <c r="Q177" s="164">
        <f t="shared" si="471"/>
        <v>0</v>
      </c>
      <c r="R177" s="164">
        <f t="shared" si="471"/>
        <v>36487514.188250005</v>
      </c>
      <c r="S177" s="164">
        <f t="shared" si="471"/>
        <v>72975028.37650001</v>
      </c>
      <c r="T177" s="164">
        <f t="shared" si="471"/>
        <v>109462542.56475002</v>
      </c>
      <c r="U177" s="164">
        <f t="shared" si="471"/>
        <v>156896311.00947502</v>
      </c>
      <c r="V177" s="164">
        <f t="shared" si="471"/>
        <v>229871339.38597503</v>
      </c>
      <c r="W177" s="164">
        <f t="shared" si="471"/>
        <v>359781075.40012503</v>
      </c>
      <c r="X177" s="164">
        <f t="shared" si="471"/>
        <v>450999860.87075001</v>
      </c>
      <c r="Y177" s="164">
        <f t="shared" si="471"/>
        <v>560462403.43550003</v>
      </c>
      <c r="Z177" s="164">
        <f t="shared" si="471"/>
        <v>669924946.00024998</v>
      </c>
      <c r="AA177" s="164">
        <f t="shared" si="471"/>
        <v>779387488.56499994</v>
      </c>
      <c r="AB177" s="164">
        <f t="shared" si="471"/>
        <v>888850031.12974989</v>
      </c>
      <c r="AC177" s="164">
        <f t="shared" si="471"/>
        <v>1047949778.4944999</v>
      </c>
      <c r="AD177" s="164">
        <f t="shared" si="471"/>
        <v>1157412321.0592499</v>
      </c>
      <c r="AE177" s="164">
        <f t="shared" si="471"/>
        <v>1266874863.6239998</v>
      </c>
      <c r="AF177" s="164">
        <f t="shared" si="471"/>
        <v>1376337406.1887498</v>
      </c>
      <c r="AG177" s="164">
        <f t="shared" si="471"/>
        <v>1485799948.7534997</v>
      </c>
      <c r="AH177" s="164">
        <f t="shared" si="471"/>
        <v>1595262491.3182497</v>
      </c>
      <c r="AI177" s="164">
        <f t="shared" si="471"/>
        <v>1704725033.8829997</v>
      </c>
      <c r="AJ177" s="164">
        <f t="shared" si="471"/>
        <v>1814187576.4477496</v>
      </c>
      <c r="AK177" s="164">
        <f t="shared" si="471"/>
        <v>1923650119.0124996</v>
      </c>
      <c r="AL177" s="164">
        <f t="shared" si="471"/>
        <v>2033112661.5772495</v>
      </c>
      <c r="AM177" s="164">
        <f t="shared" si="471"/>
        <v>2142575204.1419995</v>
      </c>
      <c r="AN177" s="164">
        <f t="shared" si="471"/>
        <v>2252037746.7067494</v>
      </c>
      <c r="AO177" s="164">
        <f t="shared" si="471"/>
        <v>2325012775.0832496</v>
      </c>
      <c r="AP177" s="164">
        <f t="shared" si="471"/>
        <v>2397987803.4597497</v>
      </c>
      <c r="AQ177" s="164">
        <f t="shared" si="471"/>
        <v>2470962831.8362498</v>
      </c>
      <c r="AR177" s="164">
        <f t="shared" si="471"/>
        <v>2543937860.21275</v>
      </c>
      <c r="AS177" s="164">
        <f t="shared" si="471"/>
        <v>2616912888.5892501</v>
      </c>
      <c r="AT177" s="164">
        <f t="shared" si="471"/>
        <v>2689887916.9657502</v>
      </c>
      <c r="AU177" s="164">
        <f t="shared" si="471"/>
        <v>2762862945.3422503</v>
      </c>
      <c r="AV177" s="164">
        <f t="shared" si="471"/>
        <v>2835837973.7187505</v>
      </c>
      <c r="AW177" s="164">
        <f t="shared" si="471"/>
        <v>2908813002.0952506</v>
      </c>
      <c r="AX177" s="164">
        <f t="shared" si="471"/>
        <v>2981788030.4717507</v>
      </c>
      <c r="AY177" s="164">
        <f t="shared" si="471"/>
        <v>3054763058.8482509</v>
      </c>
      <c r="AZ177" s="164">
        <f t="shared" si="471"/>
        <v>3127738087.224751</v>
      </c>
      <c r="BA177" s="164">
        <f t="shared" si="471"/>
        <v>3200713115.6012511</v>
      </c>
      <c r="BB177" s="164">
        <f t="shared" si="471"/>
        <v>3273688143.9777513</v>
      </c>
      <c r="BC177" s="164">
        <f t="shared" si="471"/>
        <v>3346663172.3542514</v>
      </c>
      <c r="BD177" s="164">
        <f t="shared" si="471"/>
        <v>3419638200.7307515</v>
      </c>
      <c r="BE177" s="164">
        <f t="shared" si="471"/>
        <v>3492613229.1072516</v>
      </c>
      <c r="BF177" s="164">
        <f t="shared" si="471"/>
        <v>3565588257.4837518</v>
      </c>
      <c r="BG177" s="164">
        <f t="shared" si="471"/>
        <v>3638563285.8602519</v>
      </c>
      <c r="BH177" s="164">
        <f t="shared" si="471"/>
        <v>3711538314.236752</v>
      </c>
      <c r="BI177" s="164">
        <f t="shared" si="471"/>
        <v>3748025828.4250021</v>
      </c>
    </row>
    <row r="178" spans="1:63" s="144" customFormat="1" ht="18" customHeight="1" x14ac:dyDescent="0.25">
      <c r="A178" s="381"/>
      <c r="B178" s="382"/>
      <c r="C178" s="385" t="s">
        <v>170</v>
      </c>
      <c r="D178" s="386"/>
      <c r="E178" s="386"/>
      <c r="F178" s="386"/>
      <c r="G178" s="387"/>
      <c r="H178" s="388"/>
      <c r="I178" s="388"/>
      <c r="J178" s="389"/>
      <c r="K178" s="389"/>
      <c r="L178" s="165">
        <f>L176/$H$176</f>
        <v>0</v>
      </c>
      <c r="M178" s="165">
        <f>M176/$H$176</f>
        <v>0</v>
      </c>
      <c r="N178" s="165">
        <f t="shared" ref="N178:BI178" si="472">N176/$H$176</f>
        <v>0</v>
      </c>
      <c r="O178" s="165">
        <f t="shared" si="472"/>
        <v>0</v>
      </c>
      <c r="P178" s="165">
        <f t="shared" si="472"/>
        <v>0</v>
      </c>
      <c r="Q178" s="165">
        <f t="shared" si="472"/>
        <v>0</v>
      </c>
      <c r="R178" s="165">
        <f t="shared" si="472"/>
        <v>9.7351288007486419E-3</v>
      </c>
      <c r="S178" s="165">
        <f t="shared" si="472"/>
        <v>9.7351288007486419E-3</v>
      </c>
      <c r="T178" s="165">
        <f t="shared" si="472"/>
        <v>9.7351288007486419E-3</v>
      </c>
      <c r="U178" s="165">
        <f t="shared" si="472"/>
        <v>1.2655667440973233E-2</v>
      </c>
      <c r="V178" s="165">
        <f t="shared" si="472"/>
        <v>1.9470257601497284E-2</v>
      </c>
      <c r="W178" s="165">
        <f t="shared" si="472"/>
        <v>3.4660843324214985E-2</v>
      </c>
      <c r="X178" s="165">
        <f t="shared" si="472"/>
        <v>2.4337822001871599E-2</v>
      </c>
      <c r="Y178" s="165">
        <f t="shared" si="472"/>
        <v>2.920538640224592E-2</v>
      </c>
      <c r="Z178" s="165">
        <f t="shared" si="472"/>
        <v>2.920538640224592E-2</v>
      </c>
      <c r="AA178" s="165">
        <f t="shared" si="472"/>
        <v>2.920538640224592E-2</v>
      </c>
      <c r="AB178" s="165">
        <f t="shared" si="472"/>
        <v>2.920538640224592E-2</v>
      </c>
      <c r="AC178" s="165">
        <f t="shared" si="472"/>
        <v>4.2448946364813896E-2</v>
      </c>
      <c r="AD178" s="165">
        <f t="shared" si="472"/>
        <v>2.920538640224592E-2</v>
      </c>
      <c r="AE178" s="165">
        <f t="shared" si="472"/>
        <v>2.920538640224592E-2</v>
      </c>
      <c r="AF178" s="165">
        <f t="shared" si="472"/>
        <v>2.920538640224592E-2</v>
      </c>
      <c r="AG178" s="165">
        <f t="shared" si="472"/>
        <v>2.920538640224592E-2</v>
      </c>
      <c r="AH178" s="165">
        <f t="shared" si="472"/>
        <v>2.920538640224592E-2</v>
      </c>
      <c r="AI178" s="165">
        <f t="shared" si="472"/>
        <v>2.920538640224592E-2</v>
      </c>
      <c r="AJ178" s="165">
        <f t="shared" si="472"/>
        <v>2.920538640224592E-2</v>
      </c>
      <c r="AK178" s="165">
        <f t="shared" si="472"/>
        <v>2.920538640224592E-2</v>
      </c>
      <c r="AL178" s="165">
        <f t="shared" si="472"/>
        <v>2.920538640224592E-2</v>
      </c>
      <c r="AM178" s="165">
        <f t="shared" si="472"/>
        <v>2.920538640224592E-2</v>
      </c>
      <c r="AN178" s="165">
        <f t="shared" si="472"/>
        <v>2.920538640224592E-2</v>
      </c>
      <c r="AO178" s="165">
        <f t="shared" si="472"/>
        <v>1.9470257601497284E-2</v>
      </c>
      <c r="AP178" s="165">
        <f t="shared" si="472"/>
        <v>1.9470257601497284E-2</v>
      </c>
      <c r="AQ178" s="165">
        <f t="shared" si="472"/>
        <v>1.9470257601497284E-2</v>
      </c>
      <c r="AR178" s="165">
        <f t="shared" si="472"/>
        <v>1.9470257601497284E-2</v>
      </c>
      <c r="AS178" s="165">
        <f t="shared" si="472"/>
        <v>1.9470257601497284E-2</v>
      </c>
      <c r="AT178" s="165">
        <f t="shared" si="472"/>
        <v>1.9470257601497284E-2</v>
      </c>
      <c r="AU178" s="165">
        <f t="shared" si="472"/>
        <v>1.9470257601497284E-2</v>
      </c>
      <c r="AV178" s="165">
        <f t="shared" si="472"/>
        <v>1.9470257601497284E-2</v>
      </c>
      <c r="AW178" s="165">
        <f t="shared" si="472"/>
        <v>1.9470257601497284E-2</v>
      </c>
      <c r="AX178" s="165">
        <f t="shared" si="472"/>
        <v>1.9470257601497284E-2</v>
      </c>
      <c r="AY178" s="165">
        <f t="shared" si="472"/>
        <v>1.9470257601497284E-2</v>
      </c>
      <c r="AZ178" s="165">
        <f t="shared" si="472"/>
        <v>1.9470257601497284E-2</v>
      </c>
      <c r="BA178" s="165">
        <f t="shared" si="472"/>
        <v>1.9470257601497284E-2</v>
      </c>
      <c r="BB178" s="165">
        <f t="shared" si="472"/>
        <v>1.9470257601497284E-2</v>
      </c>
      <c r="BC178" s="165">
        <f t="shared" si="472"/>
        <v>1.9470257601497284E-2</v>
      </c>
      <c r="BD178" s="165">
        <f t="shared" si="472"/>
        <v>1.9470257601497284E-2</v>
      </c>
      <c r="BE178" s="165">
        <f t="shared" si="472"/>
        <v>1.9470257601497284E-2</v>
      </c>
      <c r="BF178" s="165">
        <f t="shared" si="472"/>
        <v>1.9470257601497284E-2</v>
      </c>
      <c r="BG178" s="165">
        <f t="shared" si="472"/>
        <v>1.9470257601497284E-2</v>
      </c>
      <c r="BH178" s="165">
        <f t="shared" si="472"/>
        <v>1.9470257601497284E-2</v>
      </c>
      <c r="BI178" s="165">
        <f t="shared" si="472"/>
        <v>9.7351288007486419E-3</v>
      </c>
    </row>
    <row r="179" spans="1:63" s="144" customFormat="1" ht="18" customHeight="1" x14ac:dyDescent="0.25">
      <c r="A179" s="383"/>
      <c r="B179" s="384"/>
      <c r="C179" s="385" t="s">
        <v>171</v>
      </c>
      <c r="D179" s="386"/>
      <c r="E179" s="386"/>
      <c r="F179" s="386"/>
      <c r="G179" s="387"/>
      <c r="H179" s="388"/>
      <c r="I179" s="388"/>
      <c r="J179" s="389"/>
      <c r="K179" s="389"/>
      <c r="L179" s="165">
        <f t="shared" ref="L179" si="473">L178+K179</f>
        <v>0</v>
      </c>
      <c r="M179" s="165">
        <f>M178+L179</f>
        <v>0</v>
      </c>
      <c r="N179" s="165">
        <f t="shared" ref="N179:BI179" si="474">N178+M179</f>
        <v>0</v>
      </c>
      <c r="O179" s="165">
        <f t="shared" si="474"/>
        <v>0</v>
      </c>
      <c r="P179" s="165">
        <f t="shared" si="474"/>
        <v>0</v>
      </c>
      <c r="Q179" s="165">
        <f t="shared" si="474"/>
        <v>0</v>
      </c>
      <c r="R179" s="165">
        <f t="shared" si="474"/>
        <v>9.7351288007486419E-3</v>
      </c>
      <c r="S179" s="165">
        <f t="shared" si="474"/>
        <v>1.9470257601497284E-2</v>
      </c>
      <c r="T179" s="165">
        <f t="shared" si="474"/>
        <v>2.9205386402245924E-2</v>
      </c>
      <c r="U179" s="165">
        <f t="shared" si="474"/>
        <v>4.1861053843219156E-2</v>
      </c>
      <c r="V179" s="165">
        <f t="shared" si="474"/>
        <v>6.1331311444716444E-2</v>
      </c>
      <c r="W179" s="165">
        <f t="shared" si="474"/>
        <v>9.5992154768931429E-2</v>
      </c>
      <c r="X179" s="165">
        <f t="shared" si="474"/>
        <v>0.12032997677080302</v>
      </c>
      <c r="Y179" s="165">
        <f t="shared" si="474"/>
        <v>0.14953536317304894</v>
      </c>
      <c r="Z179" s="165">
        <f t="shared" si="474"/>
        <v>0.17874074957529487</v>
      </c>
      <c r="AA179" s="165">
        <f t="shared" si="474"/>
        <v>0.2079461359775408</v>
      </c>
      <c r="AB179" s="165">
        <f t="shared" si="474"/>
        <v>0.23715152237978673</v>
      </c>
      <c r="AC179" s="165">
        <f t="shared" si="474"/>
        <v>0.27960046874460065</v>
      </c>
      <c r="AD179" s="165">
        <f t="shared" si="474"/>
        <v>0.30880585514684655</v>
      </c>
      <c r="AE179" s="165">
        <f t="shared" si="474"/>
        <v>0.33801124154909246</v>
      </c>
      <c r="AF179" s="165">
        <f t="shared" si="474"/>
        <v>0.36721662795133836</v>
      </c>
      <c r="AG179" s="165">
        <f t="shared" si="474"/>
        <v>0.39642201435358426</v>
      </c>
      <c r="AH179" s="165">
        <f t="shared" si="474"/>
        <v>0.42562740075583017</v>
      </c>
      <c r="AI179" s="165">
        <f t="shared" si="474"/>
        <v>0.45483278715807607</v>
      </c>
      <c r="AJ179" s="165">
        <f t="shared" si="474"/>
        <v>0.48403817356032197</v>
      </c>
      <c r="AK179" s="165">
        <f t="shared" si="474"/>
        <v>0.51324355996256787</v>
      </c>
      <c r="AL179" s="165">
        <f t="shared" si="474"/>
        <v>0.54244894636481378</v>
      </c>
      <c r="AM179" s="165">
        <f t="shared" si="474"/>
        <v>0.57165433276705968</v>
      </c>
      <c r="AN179" s="165">
        <f t="shared" si="474"/>
        <v>0.60085971916930558</v>
      </c>
      <c r="AO179" s="165">
        <f t="shared" si="474"/>
        <v>0.62032997677080282</v>
      </c>
      <c r="AP179" s="165">
        <f t="shared" si="474"/>
        <v>0.63980023437230005</v>
      </c>
      <c r="AQ179" s="165">
        <f t="shared" si="474"/>
        <v>0.65927049197379728</v>
      </c>
      <c r="AR179" s="165">
        <f t="shared" si="474"/>
        <v>0.67874074957529451</v>
      </c>
      <c r="AS179" s="165">
        <f t="shared" si="474"/>
        <v>0.69821100717679174</v>
      </c>
      <c r="AT179" s="165">
        <f t="shared" si="474"/>
        <v>0.71768126477828897</v>
      </c>
      <c r="AU179" s="165">
        <f t="shared" si="474"/>
        <v>0.73715152237978621</v>
      </c>
      <c r="AV179" s="165">
        <f t="shared" si="474"/>
        <v>0.75662177998128344</v>
      </c>
      <c r="AW179" s="165">
        <f t="shared" si="474"/>
        <v>0.77609203758278067</v>
      </c>
      <c r="AX179" s="165">
        <f t="shared" si="474"/>
        <v>0.7955622951842779</v>
      </c>
      <c r="AY179" s="165">
        <f t="shared" si="474"/>
        <v>0.81503255278577513</v>
      </c>
      <c r="AZ179" s="165">
        <f t="shared" si="474"/>
        <v>0.83450281038727236</v>
      </c>
      <c r="BA179" s="165">
        <f t="shared" si="474"/>
        <v>0.8539730679887696</v>
      </c>
      <c r="BB179" s="165">
        <f t="shared" si="474"/>
        <v>0.87344332559026683</v>
      </c>
      <c r="BC179" s="165">
        <f t="shared" si="474"/>
        <v>0.89291358319176406</v>
      </c>
      <c r="BD179" s="165">
        <f t="shared" si="474"/>
        <v>0.91238384079326129</v>
      </c>
      <c r="BE179" s="165">
        <f t="shared" si="474"/>
        <v>0.93185409839475852</v>
      </c>
      <c r="BF179" s="165">
        <f t="shared" si="474"/>
        <v>0.95132435599625575</v>
      </c>
      <c r="BG179" s="165">
        <f t="shared" si="474"/>
        <v>0.97079461359775299</v>
      </c>
      <c r="BH179" s="165">
        <f t="shared" si="474"/>
        <v>0.99026487119925022</v>
      </c>
      <c r="BI179" s="165">
        <f t="shared" si="474"/>
        <v>0.99999999999999889</v>
      </c>
    </row>
    <row r="180" spans="1:63" s="140" customFormat="1" ht="10.199999999999999" x14ac:dyDescent="0.25">
      <c r="I180" s="145"/>
      <c r="J180" s="145"/>
      <c r="K180" s="145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  <c r="AD180" s="146"/>
      <c r="AE180" s="146"/>
      <c r="AF180" s="146"/>
      <c r="AG180" s="146"/>
      <c r="AH180" s="146"/>
      <c r="AI180" s="146"/>
      <c r="AJ180" s="146"/>
      <c r="AK180" s="146"/>
      <c r="AL180" s="146"/>
      <c r="AM180" s="146"/>
      <c r="AN180" s="146"/>
      <c r="AO180" s="146"/>
      <c r="AP180" s="146"/>
      <c r="AQ180" s="146"/>
      <c r="AR180" s="146"/>
      <c r="AS180" s="146"/>
      <c r="AT180" s="146"/>
      <c r="AU180" s="146"/>
      <c r="AV180" s="146"/>
      <c r="AW180" s="146"/>
      <c r="AX180" s="146"/>
      <c r="AY180" s="146"/>
      <c r="AZ180" s="146"/>
      <c r="BA180" s="146"/>
      <c r="BB180" s="146"/>
      <c r="BC180" s="146"/>
      <c r="BD180" s="146"/>
      <c r="BE180" s="146"/>
      <c r="BF180" s="146"/>
      <c r="BG180" s="146"/>
      <c r="BH180" s="146"/>
      <c r="BI180" s="146"/>
    </row>
    <row r="181" spans="1:63" s="144" customFormat="1" ht="18" customHeight="1" x14ac:dyDescent="0.25">
      <c r="A181" s="368" t="s">
        <v>224</v>
      </c>
      <c r="B181" s="369"/>
      <c r="C181" s="374" t="s">
        <v>168</v>
      </c>
      <c r="D181" s="375"/>
      <c r="E181" s="375"/>
      <c r="F181" s="375"/>
      <c r="G181" s="376"/>
      <c r="H181" s="377"/>
      <c r="I181" s="377">
        <f>I146</f>
        <v>2228067491.4641953</v>
      </c>
      <c r="J181" s="378"/>
      <c r="K181" s="378">
        <f>K146</f>
        <v>1</v>
      </c>
      <c r="L181" s="200">
        <f>SUMPRODUCT($I147:$I174,L147:L174)</f>
        <v>0</v>
      </c>
      <c r="M181" s="200">
        <f>SUMPRODUCT($I147:$I174,M147:M174)</f>
        <v>0</v>
      </c>
      <c r="N181" s="200">
        <f t="shared" ref="N181:BI181" si="475">SUMPRODUCT($I147:$I174,N147:N174)</f>
        <v>0</v>
      </c>
      <c r="O181" s="200">
        <f t="shared" si="475"/>
        <v>0</v>
      </c>
      <c r="P181" s="200">
        <f t="shared" si="475"/>
        <v>2387258.8687499999</v>
      </c>
      <c r="Q181" s="200">
        <f t="shared" si="475"/>
        <v>9549035.4749999996</v>
      </c>
      <c r="R181" s="200">
        <f t="shared" si="475"/>
        <v>32599554.290827036</v>
      </c>
      <c r="S181" s="200">
        <f t="shared" si="475"/>
        <v>21120261.465427037</v>
      </c>
      <c r="T181" s="200">
        <f t="shared" si="475"/>
        <v>21120261.465427037</v>
      </c>
      <c r="U181" s="200">
        <f t="shared" si="475"/>
        <v>27456339.905055147</v>
      </c>
      <c r="V181" s="200">
        <f t="shared" si="475"/>
        <v>44170780.281254075</v>
      </c>
      <c r="W181" s="200">
        <f t="shared" si="475"/>
        <v>87748872.784185365</v>
      </c>
      <c r="X181" s="200">
        <f t="shared" si="475"/>
        <v>59962430.269817591</v>
      </c>
      <c r="Y181" s="200">
        <f t="shared" si="475"/>
        <v>63360784.396281108</v>
      </c>
      <c r="Z181" s="200">
        <f t="shared" si="475"/>
        <v>64325913.071481109</v>
      </c>
      <c r="AA181" s="200">
        <f t="shared" si="475"/>
        <v>70522561.002531111</v>
      </c>
      <c r="AB181" s="200">
        <f t="shared" si="475"/>
        <v>68135302.133781105</v>
      </c>
      <c r="AC181" s="200">
        <f t="shared" si="475"/>
        <v>95096046.481527016</v>
      </c>
      <c r="AD181" s="200">
        <f t="shared" si="475"/>
        <v>63360784.396281108</v>
      </c>
      <c r="AE181" s="200">
        <f t="shared" si="475"/>
        <v>63360784.396281108</v>
      </c>
      <c r="AF181" s="200">
        <f t="shared" si="475"/>
        <v>63360784.396281108</v>
      </c>
      <c r="AG181" s="200">
        <f t="shared" si="475"/>
        <v>63360784.396281108</v>
      </c>
      <c r="AH181" s="200">
        <f t="shared" si="475"/>
        <v>63360784.396281108</v>
      </c>
      <c r="AI181" s="200">
        <f t="shared" si="475"/>
        <v>63360784.396281108</v>
      </c>
      <c r="AJ181" s="200">
        <f t="shared" si="475"/>
        <v>63360784.396281108</v>
      </c>
      <c r="AK181" s="200">
        <f t="shared" si="475"/>
        <v>63360784.396281108</v>
      </c>
      <c r="AL181" s="200">
        <f t="shared" si="475"/>
        <v>63360784.396281108</v>
      </c>
      <c r="AM181" s="200">
        <f t="shared" si="475"/>
        <v>63360784.396281108</v>
      </c>
      <c r="AN181" s="200">
        <f t="shared" si="475"/>
        <v>63360784.396281108</v>
      </c>
      <c r="AO181" s="200">
        <f t="shared" si="475"/>
        <v>42240522.930854075</v>
      </c>
      <c r="AP181" s="200">
        <f t="shared" si="475"/>
        <v>42240522.930854075</v>
      </c>
      <c r="AQ181" s="200">
        <f t="shared" si="475"/>
        <v>42240522.930854075</v>
      </c>
      <c r="AR181" s="200">
        <f t="shared" si="475"/>
        <v>42240522.930854075</v>
      </c>
      <c r="AS181" s="200">
        <f t="shared" si="475"/>
        <v>42240522.930854075</v>
      </c>
      <c r="AT181" s="200">
        <f t="shared" si="475"/>
        <v>42240522.930854075</v>
      </c>
      <c r="AU181" s="200">
        <f t="shared" si="475"/>
        <v>42240522.930854075</v>
      </c>
      <c r="AV181" s="200">
        <f t="shared" si="475"/>
        <v>42240522.930854075</v>
      </c>
      <c r="AW181" s="200">
        <f t="shared" si="475"/>
        <v>42240522.930854075</v>
      </c>
      <c r="AX181" s="200">
        <f t="shared" si="475"/>
        <v>42240522.930854075</v>
      </c>
      <c r="AY181" s="200">
        <f t="shared" si="475"/>
        <v>42240522.930854075</v>
      </c>
      <c r="AZ181" s="200">
        <f t="shared" si="475"/>
        <v>42240522.930854075</v>
      </c>
      <c r="BA181" s="200">
        <f t="shared" si="475"/>
        <v>42240522.930854075</v>
      </c>
      <c r="BB181" s="200">
        <f t="shared" si="475"/>
        <v>42240522.930854075</v>
      </c>
      <c r="BC181" s="200">
        <f t="shared" si="475"/>
        <v>42240522.930854075</v>
      </c>
      <c r="BD181" s="200">
        <f t="shared" si="475"/>
        <v>42240522.930854075</v>
      </c>
      <c r="BE181" s="200">
        <f t="shared" si="475"/>
        <v>42240522.930854075</v>
      </c>
      <c r="BF181" s="200">
        <f t="shared" si="475"/>
        <v>42240522.930854075</v>
      </c>
      <c r="BG181" s="200">
        <f t="shared" si="475"/>
        <v>42240522.930854075</v>
      </c>
      <c r="BH181" s="200">
        <f t="shared" si="475"/>
        <v>42240522.930854075</v>
      </c>
      <c r="BI181" s="200">
        <f t="shared" si="475"/>
        <v>21120261.465427037</v>
      </c>
    </row>
    <row r="182" spans="1:63" s="144" customFormat="1" ht="18" customHeight="1" x14ac:dyDescent="0.25">
      <c r="A182" s="370"/>
      <c r="B182" s="371"/>
      <c r="C182" s="374" t="s">
        <v>169</v>
      </c>
      <c r="D182" s="375"/>
      <c r="E182" s="375"/>
      <c r="F182" s="375"/>
      <c r="G182" s="376"/>
      <c r="H182" s="377"/>
      <c r="I182" s="377"/>
      <c r="J182" s="378"/>
      <c r="K182" s="378"/>
      <c r="L182" s="201">
        <f>L181</f>
        <v>0</v>
      </c>
      <c r="M182" s="201">
        <f>M181+L182</f>
        <v>0</v>
      </c>
      <c r="N182" s="201">
        <f t="shared" ref="N182:BI182" si="476">N181+M182</f>
        <v>0</v>
      </c>
      <c r="O182" s="201">
        <f t="shared" si="476"/>
        <v>0</v>
      </c>
      <c r="P182" s="201">
        <f t="shared" si="476"/>
        <v>2387258.8687499999</v>
      </c>
      <c r="Q182" s="201">
        <f t="shared" si="476"/>
        <v>11936294.34375</v>
      </c>
      <c r="R182" s="201">
        <f t="shared" si="476"/>
        <v>44535848.634577036</v>
      </c>
      <c r="S182" s="201">
        <f t="shared" si="476"/>
        <v>65656110.100004077</v>
      </c>
      <c r="T182" s="201">
        <f t="shared" si="476"/>
        <v>86776371.565431118</v>
      </c>
      <c r="U182" s="201">
        <f t="shared" si="476"/>
        <v>114232711.47048627</v>
      </c>
      <c r="V182" s="201">
        <f t="shared" si="476"/>
        <v>158403491.75174034</v>
      </c>
      <c r="W182" s="201">
        <f t="shared" si="476"/>
        <v>246152364.53592569</v>
      </c>
      <c r="X182" s="201">
        <f t="shared" si="476"/>
        <v>306114794.80574328</v>
      </c>
      <c r="Y182" s="201">
        <f t="shared" si="476"/>
        <v>369475579.2020244</v>
      </c>
      <c r="Z182" s="201">
        <f t="shared" si="476"/>
        <v>433801492.27350551</v>
      </c>
      <c r="AA182" s="201">
        <f t="shared" si="476"/>
        <v>504324053.27603662</v>
      </c>
      <c r="AB182" s="201">
        <f t="shared" si="476"/>
        <v>572459355.4098177</v>
      </c>
      <c r="AC182" s="201">
        <f t="shared" si="476"/>
        <v>667555401.89134467</v>
      </c>
      <c r="AD182" s="201">
        <f t="shared" si="476"/>
        <v>730916186.28762579</v>
      </c>
      <c r="AE182" s="201">
        <f t="shared" si="476"/>
        <v>794276970.68390691</v>
      </c>
      <c r="AF182" s="201">
        <f t="shared" si="476"/>
        <v>857637755.08018804</v>
      </c>
      <c r="AG182" s="201">
        <f t="shared" si="476"/>
        <v>920998539.47646916</v>
      </c>
      <c r="AH182" s="201">
        <f t="shared" si="476"/>
        <v>984359323.87275028</v>
      </c>
      <c r="AI182" s="201">
        <f t="shared" si="476"/>
        <v>1047720108.2690314</v>
      </c>
      <c r="AJ182" s="201">
        <f t="shared" si="476"/>
        <v>1111080892.6653125</v>
      </c>
      <c r="AK182" s="201">
        <f t="shared" si="476"/>
        <v>1174441677.0615935</v>
      </c>
      <c r="AL182" s="201">
        <f t="shared" si="476"/>
        <v>1237802461.4578745</v>
      </c>
      <c r="AM182" s="201">
        <f t="shared" si="476"/>
        <v>1301163245.8541555</v>
      </c>
      <c r="AN182" s="201">
        <f t="shared" si="476"/>
        <v>1364524030.2504365</v>
      </c>
      <c r="AO182" s="201">
        <f t="shared" si="476"/>
        <v>1406764553.1812906</v>
      </c>
      <c r="AP182" s="201">
        <f t="shared" si="476"/>
        <v>1449005076.1121447</v>
      </c>
      <c r="AQ182" s="201">
        <f t="shared" si="476"/>
        <v>1491245599.0429988</v>
      </c>
      <c r="AR182" s="201">
        <f t="shared" si="476"/>
        <v>1533486121.9738529</v>
      </c>
      <c r="AS182" s="201">
        <f t="shared" si="476"/>
        <v>1575726644.904707</v>
      </c>
      <c r="AT182" s="201">
        <f t="shared" si="476"/>
        <v>1617967167.835561</v>
      </c>
      <c r="AU182" s="201">
        <f t="shared" si="476"/>
        <v>1660207690.7664151</v>
      </c>
      <c r="AV182" s="201">
        <f t="shared" si="476"/>
        <v>1702448213.6972692</v>
      </c>
      <c r="AW182" s="201">
        <f t="shared" si="476"/>
        <v>1744688736.6281233</v>
      </c>
      <c r="AX182" s="201">
        <f t="shared" si="476"/>
        <v>1786929259.5589774</v>
      </c>
      <c r="AY182" s="201">
        <f t="shared" si="476"/>
        <v>1829169782.4898314</v>
      </c>
      <c r="AZ182" s="201">
        <f t="shared" si="476"/>
        <v>1871410305.4206855</v>
      </c>
      <c r="BA182" s="201">
        <f t="shared" si="476"/>
        <v>1913650828.3515396</v>
      </c>
      <c r="BB182" s="201">
        <f t="shared" si="476"/>
        <v>1955891351.2823937</v>
      </c>
      <c r="BC182" s="201">
        <f t="shared" si="476"/>
        <v>1998131874.2132478</v>
      </c>
      <c r="BD182" s="201">
        <f t="shared" si="476"/>
        <v>2040372397.1441019</v>
      </c>
      <c r="BE182" s="201">
        <f t="shared" si="476"/>
        <v>2082612920.0749559</v>
      </c>
      <c r="BF182" s="201">
        <f t="shared" si="476"/>
        <v>2124853443.00581</v>
      </c>
      <c r="BG182" s="201">
        <f t="shared" si="476"/>
        <v>2167093965.9366641</v>
      </c>
      <c r="BH182" s="201">
        <f t="shared" si="476"/>
        <v>2209334488.8675179</v>
      </c>
      <c r="BI182" s="201">
        <f t="shared" si="476"/>
        <v>2230454750.3329449</v>
      </c>
    </row>
    <row r="183" spans="1:63" s="144" customFormat="1" ht="18" customHeight="1" x14ac:dyDescent="0.25">
      <c r="A183" s="370"/>
      <c r="B183" s="371"/>
      <c r="C183" s="374" t="s">
        <v>170</v>
      </c>
      <c r="D183" s="375"/>
      <c r="E183" s="375"/>
      <c r="F183" s="375"/>
      <c r="G183" s="376"/>
      <c r="H183" s="377"/>
      <c r="I183" s="377"/>
      <c r="J183" s="378"/>
      <c r="K183" s="378"/>
      <c r="L183" s="202">
        <f>L181/$I$181</f>
        <v>0</v>
      </c>
      <c r="M183" s="202">
        <f>M181/$I$181</f>
        <v>0</v>
      </c>
      <c r="N183" s="202">
        <f t="shared" ref="N183:BI183" si="477">N181/$I$181</f>
        <v>0</v>
      </c>
      <c r="O183" s="202">
        <f t="shared" si="477"/>
        <v>0</v>
      </c>
      <c r="P183" s="202">
        <f t="shared" si="477"/>
        <v>1.0714481845346573E-3</v>
      </c>
      <c r="Q183" s="202">
        <f t="shared" si="477"/>
        <v>4.2857927381386293E-3</v>
      </c>
      <c r="R183" s="202">
        <f t="shared" si="477"/>
        <v>1.4631313645442552E-2</v>
      </c>
      <c r="S183" s="202">
        <f t="shared" si="477"/>
        <v>9.4791838875346018E-3</v>
      </c>
      <c r="T183" s="202">
        <f t="shared" si="477"/>
        <v>9.4791838875346018E-3</v>
      </c>
      <c r="U183" s="202">
        <f t="shared" si="477"/>
        <v>1.232293905379498E-2</v>
      </c>
      <c r="V183" s="202">
        <f t="shared" si="477"/>
        <v>1.9824704794838523E-2</v>
      </c>
      <c r="W183" s="202">
        <f t="shared" si="477"/>
        <v>3.9383399793926521E-2</v>
      </c>
      <c r="X183" s="202">
        <f t="shared" si="477"/>
        <v>2.6912304272440474E-2</v>
      </c>
      <c r="Y183" s="202">
        <f t="shared" si="477"/>
        <v>2.8437551662603804E-2</v>
      </c>
      <c r="Z183" s="202">
        <f t="shared" si="477"/>
        <v>2.8870720172488464E-2</v>
      </c>
      <c r="AA183" s="202">
        <f t="shared" si="477"/>
        <v>3.1651896216207773E-2</v>
      </c>
      <c r="AB183" s="202">
        <f t="shared" si="477"/>
        <v>3.0580448031673115E-2</v>
      </c>
      <c r="AC183" s="202">
        <f t="shared" si="477"/>
        <v>4.2680954165815584E-2</v>
      </c>
      <c r="AD183" s="202">
        <f t="shared" si="477"/>
        <v>2.8437551662603804E-2</v>
      </c>
      <c r="AE183" s="202">
        <f t="shared" si="477"/>
        <v>2.8437551662603804E-2</v>
      </c>
      <c r="AF183" s="202">
        <f t="shared" si="477"/>
        <v>2.8437551662603804E-2</v>
      </c>
      <c r="AG183" s="202">
        <f t="shared" si="477"/>
        <v>2.8437551662603804E-2</v>
      </c>
      <c r="AH183" s="202">
        <f t="shared" si="477"/>
        <v>2.8437551662603804E-2</v>
      </c>
      <c r="AI183" s="202">
        <f t="shared" si="477"/>
        <v>2.8437551662603804E-2</v>
      </c>
      <c r="AJ183" s="202">
        <f t="shared" si="477"/>
        <v>2.8437551662603804E-2</v>
      </c>
      <c r="AK183" s="202">
        <f t="shared" si="477"/>
        <v>2.8437551662603804E-2</v>
      </c>
      <c r="AL183" s="202">
        <f t="shared" si="477"/>
        <v>2.8437551662603804E-2</v>
      </c>
      <c r="AM183" s="202">
        <f t="shared" si="477"/>
        <v>2.8437551662603804E-2</v>
      </c>
      <c r="AN183" s="202">
        <f t="shared" si="477"/>
        <v>2.8437551662603804E-2</v>
      </c>
      <c r="AO183" s="202">
        <f t="shared" si="477"/>
        <v>1.8958367775069204E-2</v>
      </c>
      <c r="AP183" s="202">
        <f t="shared" si="477"/>
        <v>1.8958367775069204E-2</v>
      </c>
      <c r="AQ183" s="202">
        <f t="shared" si="477"/>
        <v>1.8958367775069204E-2</v>
      </c>
      <c r="AR183" s="202">
        <f t="shared" si="477"/>
        <v>1.8958367775069204E-2</v>
      </c>
      <c r="AS183" s="202">
        <f t="shared" si="477"/>
        <v>1.8958367775069204E-2</v>
      </c>
      <c r="AT183" s="202">
        <f t="shared" si="477"/>
        <v>1.8958367775069204E-2</v>
      </c>
      <c r="AU183" s="202">
        <f t="shared" si="477"/>
        <v>1.8958367775069204E-2</v>
      </c>
      <c r="AV183" s="202">
        <f t="shared" si="477"/>
        <v>1.8958367775069204E-2</v>
      </c>
      <c r="AW183" s="202">
        <f t="shared" si="477"/>
        <v>1.8958367775069204E-2</v>
      </c>
      <c r="AX183" s="202">
        <f t="shared" si="477"/>
        <v>1.8958367775069204E-2</v>
      </c>
      <c r="AY183" s="202">
        <f t="shared" si="477"/>
        <v>1.8958367775069204E-2</v>
      </c>
      <c r="AZ183" s="202">
        <f t="shared" si="477"/>
        <v>1.8958367775069204E-2</v>
      </c>
      <c r="BA183" s="202">
        <f t="shared" si="477"/>
        <v>1.8958367775069204E-2</v>
      </c>
      <c r="BB183" s="202">
        <f t="shared" si="477"/>
        <v>1.8958367775069204E-2</v>
      </c>
      <c r="BC183" s="202">
        <f t="shared" si="477"/>
        <v>1.8958367775069204E-2</v>
      </c>
      <c r="BD183" s="202">
        <f t="shared" si="477"/>
        <v>1.8958367775069204E-2</v>
      </c>
      <c r="BE183" s="202">
        <f t="shared" si="477"/>
        <v>1.8958367775069204E-2</v>
      </c>
      <c r="BF183" s="202">
        <f t="shared" si="477"/>
        <v>1.8958367775069204E-2</v>
      </c>
      <c r="BG183" s="202">
        <f t="shared" si="477"/>
        <v>1.8958367775069204E-2</v>
      </c>
      <c r="BH183" s="202">
        <f t="shared" si="477"/>
        <v>1.8958367775069204E-2</v>
      </c>
      <c r="BI183" s="202">
        <f t="shared" si="477"/>
        <v>9.4791838875346018E-3</v>
      </c>
    </row>
    <row r="184" spans="1:63" s="144" customFormat="1" ht="18" customHeight="1" x14ac:dyDescent="0.25">
      <c r="A184" s="372"/>
      <c r="B184" s="373"/>
      <c r="C184" s="374" t="s">
        <v>171</v>
      </c>
      <c r="D184" s="375"/>
      <c r="E184" s="375"/>
      <c r="F184" s="375"/>
      <c r="G184" s="376"/>
      <c r="H184" s="377"/>
      <c r="I184" s="377"/>
      <c r="J184" s="378"/>
      <c r="K184" s="378"/>
      <c r="L184" s="202">
        <f>L183</f>
        <v>0</v>
      </c>
      <c r="M184" s="202">
        <f t="shared" ref="M184" si="478">M183+L184</f>
        <v>0</v>
      </c>
      <c r="N184" s="202">
        <f t="shared" ref="N184" si="479">N183+M184</f>
        <v>0</v>
      </c>
      <c r="O184" s="202">
        <f t="shared" ref="O184" si="480">O183+N184</f>
        <v>0</v>
      </c>
      <c r="P184" s="202">
        <f t="shared" ref="P184" si="481">P183+O184</f>
        <v>1.0714481845346573E-3</v>
      </c>
      <c r="Q184" s="202">
        <f t="shared" ref="Q184" si="482">Q183+P184</f>
        <v>5.3572409226732868E-3</v>
      </c>
      <c r="R184" s="202">
        <f t="shared" ref="R184" si="483">R183+Q184</f>
        <v>1.9988554568115838E-2</v>
      </c>
      <c r="S184" s="202">
        <f t="shared" ref="S184" si="484">S183+R184</f>
        <v>2.9467738455650441E-2</v>
      </c>
      <c r="T184" s="202">
        <f t="shared" ref="T184" si="485">T183+S184</f>
        <v>3.8946922343185045E-2</v>
      </c>
      <c r="U184" s="202">
        <f t="shared" ref="U184" si="486">U183+T184</f>
        <v>5.1269861396980025E-2</v>
      </c>
      <c r="V184" s="202">
        <f t="shared" ref="V184" si="487">V183+U184</f>
        <v>7.1094566191818545E-2</v>
      </c>
      <c r="W184" s="202">
        <f t="shared" ref="W184" si="488">W183+V184</f>
        <v>0.11047796598574507</v>
      </c>
      <c r="X184" s="202">
        <f t="shared" ref="X184" si="489">X183+W184</f>
        <v>0.13739027025818554</v>
      </c>
      <c r="Y184" s="202">
        <f t="shared" ref="Y184" si="490">Y183+X184</f>
        <v>0.16582782192078935</v>
      </c>
      <c r="Z184" s="202">
        <f t="shared" ref="Z184" si="491">Z183+Y184</f>
        <v>0.1946985420932778</v>
      </c>
      <c r="AA184" s="202">
        <f t="shared" ref="AA184" si="492">AA183+Z184</f>
        <v>0.22635043830948559</v>
      </c>
      <c r="AB184" s="202">
        <f t="shared" ref="AB184" si="493">AB183+AA184</f>
        <v>0.25693088634115868</v>
      </c>
      <c r="AC184" s="202">
        <f t="shared" ref="AC184" si="494">AC183+AB184</f>
        <v>0.29961184050697426</v>
      </c>
      <c r="AD184" s="202">
        <f t="shared" ref="AD184" si="495">AD183+AC184</f>
        <v>0.32804939216957807</v>
      </c>
      <c r="AE184" s="202">
        <f t="shared" ref="AE184" si="496">AE183+AD184</f>
        <v>0.35648694383218188</v>
      </c>
      <c r="AF184" s="202">
        <f t="shared" ref="AF184" si="497">AF183+AE184</f>
        <v>0.38492449549478569</v>
      </c>
      <c r="AG184" s="202">
        <f t="shared" ref="AG184" si="498">AG183+AF184</f>
        <v>0.4133620471573895</v>
      </c>
      <c r="AH184" s="202">
        <f t="shared" ref="AH184" si="499">AH183+AG184</f>
        <v>0.44179959881999331</v>
      </c>
      <c r="AI184" s="202">
        <f t="shared" ref="AI184" si="500">AI183+AH184</f>
        <v>0.47023715048259712</v>
      </c>
      <c r="AJ184" s="202">
        <f t="shared" ref="AJ184" si="501">AJ183+AI184</f>
        <v>0.49867470214520093</v>
      </c>
      <c r="AK184" s="202">
        <f t="shared" ref="AK184" si="502">AK183+AJ184</f>
        <v>0.52711225380780469</v>
      </c>
      <c r="AL184" s="202">
        <f t="shared" ref="AL184" si="503">AL183+AK184</f>
        <v>0.55554980547040844</v>
      </c>
      <c r="AM184" s="202">
        <f t="shared" ref="AM184" si="504">AM183+AL184</f>
        <v>0.5839873571330122</v>
      </c>
      <c r="AN184" s="202">
        <f t="shared" ref="AN184" si="505">AN183+AM184</f>
        <v>0.61242490879561595</v>
      </c>
      <c r="AO184" s="202">
        <f t="shared" ref="AO184" si="506">AO183+AN184</f>
        <v>0.63138327657068516</v>
      </c>
      <c r="AP184" s="202">
        <f t="shared" ref="AP184" si="507">AP183+AO184</f>
        <v>0.65034164434575437</v>
      </c>
      <c r="AQ184" s="202">
        <f t="shared" ref="AQ184" si="508">AQ183+AP184</f>
        <v>0.66930001212082357</v>
      </c>
      <c r="AR184" s="202">
        <f t="shared" ref="AR184" si="509">AR183+AQ184</f>
        <v>0.68825837989589278</v>
      </c>
      <c r="AS184" s="202">
        <f t="shared" ref="AS184" si="510">AS183+AR184</f>
        <v>0.70721674767096199</v>
      </c>
      <c r="AT184" s="202">
        <f t="shared" ref="AT184" si="511">AT183+AS184</f>
        <v>0.72617511544603119</v>
      </c>
      <c r="AU184" s="202">
        <f t="shared" ref="AU184" si="512">AU183+AT184</f>
        <v>0.7451334832211004</v>
      </c>
      <c r="AV184" s="202">
        <f t="shared" ref="AV184" si="513">AV183+AU184</f>
        <v>0.76409185099616961</v>
      </c>
      <c r="AW184" s="202">
        <f t="shared" ref="AW184" si="514">AW183+AV184</f>
        <v>0.78305021877123882</v>
      </c>
      <c r="AX184" s="202">
        <f t="shared" ref="AX184" si="515">AX183+AW184</f>
        <v>0.80200858654630802</v>
      </c>
      <c r="AY184" s="202">
        <f t="shared" ref="AY184" si="516">AY183+AX184</f>
        <v>0.82096695432137723</v>
      </c>
      <c r="AZ184" s="202">
        <f t="shared" ref="AZ184" si="517">AZ183+AY184</f>
        <v>0.83992532209644644</v>
      </c>
      <c r="BA184" s="202">
        <f t="shared" ref="BA184" si="518">BA183+AZ184</f>
        <v>0.85888368987151564</v>
      </c>
      <c r="BB184" s="202">
        <f t="shared" ref="BB184" si="519">BB183+BA184</f>
        <v>0.87784205764658485</v>
      </c>
      <c r="BC184" s="202">
        <f t="shared" ref="BC184" si="520">BC183+BB184</f>
        <v>0.89680042542165406</v>
      </c>
      <c r="BD184" s="202">
        <f t="shared" ref="BD184" si="521">BD183+BC184</f>
        <v>0.91575879319672326</v>
      </c>
      <c r="BE184" s="202">
        <f t="shared" ref="BE184" si="522">BE183+BD184</f>
        <v>0.93471716097179247</v>
      </c>
      <c r="BF184" s="202">
        <f t="shared" ref="BF184" si="523">BF183+BE184</f>
        <v>0.95367552874686168</v>
      </c>
      <c r="BG184" s="202">
        <f t="shared" ref="BG184" si="524">BG183+BF184</f>
        <v>0.97263389652193089</v>
      </c>
      <c r="BH184" s="202">
        <f t="shared" ref="BH184" si="525">BH183+BG184</f>
        <v>0.99159226429700009</v>
      </c>
      <c r="BI184" s="202">
        <f t="shared" ref="BI184" si="526">BI183+BH184</f>
        <v>1.0010714481845346</v>
      </c>
    </row>
    <row r="185" spans="1:63" s="140" customFormat="1" ht="10.199999999999999" x14ac:dyDescent="0.25">
      <c r="I185" s="145"/>
      <c r="J185" s="145"/>
      <c r="K185" s="145"/>
      <c r="L185" s="146"/>
      <c r="M185" s="146"/>
      <c r="N185" s="146"/>
      <c r="O185" s="146"/>
      <c r="P185" s="146"/>
      <c r="Q185" s="146"/>
      <c r="R185" s="146"/>
      <c r="S185" s="146"/>
      <c r="T185" s="139"/>
      <c r="U185" s="139"/>
      <c r="V185" s="139"/>
      <c r="W185" s="139"/>
      <c r="X185" s="139"/>
      <c r="Y185" s="139"/>
      <c r="Z185" s="139"/>
      <c r="AA185" s="139"/>
      <c r="AB185" s="139"/>
      <c r="AC185" s="139"/>
      <c r="AD185" s="139"/>
      <c r="AE185" s="139"/>
      <c r="AF185" s="139"/>
      <c r="AG185" s="139"/>
      <c r="AH185" s="139"/>
      <c r="AI185" s="139"/>
      <c r="AJ185" s="139"/>
      <c r="AK185" s="139"/>
      <c r="AL185" s="139"/>
      <c r="AM185" s="139"/>
      <c r="AN185" s="139"/>
      <c r="AO185" s="139"/>
      <c r="AP185" s="139"/>
      <c r="AQ185" s="139"/>
      <c r="AR185" s="139"/>
      <c r="AS185" s="139"/>
      <c r="AT185" s="139"/>
      <c r="AU185" s="139"/>
      <c r="AV185" s="139"/>
      <c r="AW185" s="139"/>
      <c r="AX185" s="139"/>
      <c r="AY185" s="139"/>
      <c r="AZ185" s="139"/>
      <c r="BA185" s="139"/>
      <c r="BB185" s="139"/>
      <c r="BC185" s="139"/>
      <c r="BD185" s="139"/>
      <c r="BE185" s="139"/>
      <c r="BF185" s="139"/>
      <c r="BG185" s="139"/>
      <c r="BH185" s="139"/>
      <c r="BI185" s="139"/>
    </row>
    <row r="186" spans="1:63" s="140" customFormat="1" ht="10.199999999999999" x14ac:dyDescent="0.25">
      <c r="I186" s="145"/>
      <c r="J186" s="145"/>
      <c r="K186" s="145"/>
      <c r="L186" s="146"/>
      <c r="M186" s="146"/>
      <c r="N186" s="146"/>
      <c r="O186" s="146"/>
      <c r="P186" s="146"/>
      <c r="Q186" s="146"/>
      <c r="R186" s="146"/>
      <c r="S186" s="146"/>
      <c r="T186" s="139"/>
      <c r="U186" s="139"/>
      <c r="V186" s="139"/>
      <c r="W186" s="139"/>
      <c r="X186" s="139"/>
      <c r="Y186" s="139"/>
      <c r="Z186" s="139"/>
      <c r="AA186" s="139"/>
      <c r="AB186" s="139"/>
      <c r="AC186" s="139"/>
      <c r="AD186" s="139"/>
      <c r="AE186" s="139"/>
      <c r="AF186" s="139"/>
      <c r="AG186" s="139"/>
      <c r="AH186" s="139"/>
      <c r="AI186" s="139"/>
      <c r="AJ186" s="139"/>
      <c r="AK186" s="139"/>
      <c r="AL186" s="139"/>
      <c r="AM186" s="139"/>
      <c r="AN186" s="139"/>
      <c r="AO186" s="139"/>
      <c r="AP186" s="139"/>
      <c r="AQ186" s="139"/>
      <c r="AR186" s="139"/>
      <c r="AS186" s="139"/>
      <c r="AT186" s="139"/>
      <c r="AU186" s="139"/>
      <c r="AV186" s="139"/>
      <c r="AW186" s="139"/>
      <c r="AX186" s="139"/>
      <c r="AY186" s="139"/>
      <c r="AZ186" s="139"/>
      <c r="BA186" s="139"/>
      <c r="BB186" s="139"/>
      <c r="BC186" s="139"/>
      <c r="BD186" s="139"/>
      <c r="BE186" s="139"/>
      <c r="BF186" s="139"/>
      <c r="BG186" s="139"/>
      <c r="BH186" s="139"/>
      <c r="BI186" s="139"/>
    </row>
    <row r="187" spans="1:63" s="47" customFormat="1" ht="21.75" customHeight="1" x14ac:dyDescent="0.25">
      <c r="A187" s="155" t="s">
        <v>106</v>
      </c>
      <c r="B187" s="203" t="str">
        <f>Empreendimentos!A104</f>
        <v>AL'DORA VITTA</v>
      </c>
      <c r="C187" s="156"/>
      <c r="D187" s="156"/>
      <c r="E187" s="157"/>
      <c r="F187" s="216">
        <f>SUM(F188,F190,F192,F194,F196,F198,F200,F202,F204,F206)</f>
        <v>333068.83600499999</v>
      </c>
      <c r="G187" s="216">
        <f>SUM(G188,G190,G192,G194,G196,G198,G200,G202,G204,G206)</f>
        <v>665694.71956393437</v>
      </c>
      <c r="H187" s="213">
        <f>SUM(H188,H190,H192,H194,H196,H198,H200,H202,H204,H206)</f>
        <v>3058107244.7400002</v>
      </c>
      <c r="I187" s="213">
        <f t="shared" ref="I187" si="527">SUM(I188,I190,I192,I194,I196,I198,I200,I202,I204,I206)</f>
        <v>1851098202.3030367</v>
      </c>
      <c r="J187" s="198">
        <f>H187/$H$209</f>
        <v>1</v>
      </c>
      <c r="K187" s="198">
        <f>I187/$I$214</f>
        <v>1</v>
      </c>
      <c r="L187" s="158"/>
      <c r="M187" s="159"/>
      <c r="N187" s="159"/>
      <c r="O187" s="159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  <c r="AA187" s="160"/>
      <c r="AB187" s="160"/>
      <c r="AC187" s="160"/>
      <c r="AD187" s="160"/>
      <c r="AE187" s="160"/>
      <c r="AF187" s="160"/>
      <c r="AG187" s="161"/>
      <c r="AH187" s="161"/>
      <c r="AI187" s="161"/>
      <c r="AJ187" s="161"/>
      <c r="AK187" s="161"/>
      <c r="AL187" s="161"/>
      <c r="AM187" s="161"/>
      <c r="AN187" s="161"/>
      <c r="AO187" s="161"/>
      <c r="AP187" s="161"/>
      <c r="AQ187" s="161"/>
      <c r="AR187" s="161"/>
      <c r="AS187" s="161"/>
      <c r="AT187" s="161"/>
      <c r="AU187" s="161"/>
      <c r="AV187" s="161"/>
      <c r="AW187" s="161"/>
      <c r="AX187" s="161"/>
      <c r="AY187" s="161"/>
      <c r="AZ187" s="161"/>
      <c r="BA187" s="161"/>
      <c r="BB187" s="161"/>
      <c r="BC187" s="161"/>
      <c r="BD187" s="161"/>
      <c r="BE187" s="161"/>
      <c r="BF187" s="161"/>
      <c r="BG187" s="161"/>
      <c r="BH187" s="161"/>
      <c r="BI187" s="162"/>
      <c r="BJ187" s="119">
        <f>SUM(L187:BI187)</f>
        <v>0</v>
      </c>
      <c r="BK187" s="33"/>
    </row>
    <row r="188" spans="1:63" ht="21.75" customHeight="1" x14ac:dyDescent="0.25">
      <c r="A188" s="193" t="str">
        <f>Empreendimentos!B105</f>
        <v>QAV01</v>
      </c>
      <c r="B188" s="154" t="str">
        <f>Empreendimentos!C105</f>
        <v>Mall</v>
      </c>
      <c r="C188" s="197" t="str">
        <f>$C$339</f>
        <v>Médio</v>
      </c>
      <c r="D188" s="188">
        <f>Empreendimentos!L105</f>
        <v>1</v>
      </c>
      <c r="E188" s="189">
        <f>Empreendimentos!M105</f>
        <v>2106.4204000000004</v>
      </c>
      <c r="F188" s="190">
        <f>Empreendimentos!H105</f>
        <v>6319.2612000000008</v>
      </c>
      <c r="G188" s="190">
        <f>Empreendimentos!I105</f>
        <v>7899.076500000001</v>
      </c>
      <c r="H188" s="191">
        <f>F188*VLOOKUP(C188,$C$337:$E$351,2,FALSE)</f>
        <v>56873350.800000004</v>
      </c>
      <c r="I188" s="192">
        <f>G188*VLOOKUP(C188,$C$337:$E$351,3,FALSE)</f>
        <v>23852513.49537525</v>
      </c>
      <c r="J188" s="205">
        <f>H188/$H$209</f>
        <v>1.8597565830244571E-2</v>
      </c>
      <c r="K188" s="205">
        <f>I188/$I$214</f>
        <v>1.2885601350430376E-2</v>
      </c>
      <c r="L188" s="181"/>
      <c r="M188" s="182"/>
      <c r="N188" s="182"/>
      <c r="O188" s="182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3"/>
      <c r="AD188" s="183"/>
      <c r="AE188" s="183"/>
      <c r="AF188" s="183"/>
      <c r="AG188" s="184">
        <v>0.5</v>
      </c>
      <c r="AH188" s="184"/>
      <c r="AI188" s="184"/>
      <c r="AJ188" s="184"/>
      <c r="AK188" s="184"/>
      <c r="AL188" s="184"/>
      <c r="AM188" s="184"/>
      <c r="AN188" s="184"/>
      <c r="AO188" s="184"/>
      <c r="AP188" s="184"/>
      <c r="AQ188" s="184">
        <v>0.5</v>
      </c>
      <c r="AR188" s="184"/>
      <c r="AS188" s="184"/>
      <c r="AT188" s="184"/>
      <c r="AU188" s="184"/>
      <c r="AV188" s="184"/>
      <c r="AW188" s="184"/>
      <c r="AX188" s="184"/>
      <c r="AY188" s="184"/>
      <c r="AZ188" s="184"/>
      <c r="BA188" s="184"/>
      <c r="BB188" s="184"/>
      <c r="BC188" s="184"/>
      <c r="BD188" s="184"/>
      <c r="BE188" s="184"/>
      <c r="BF188" s="184"/>
      <c r="BG188" s="184"/>
      <c r="BH188" s="184"/>
      <c r="BI188" s="185"/>
      <c r="BJ188" s="119">
        <f>SUM(L188:BI188)</f>
        <v>1</v>
      </c>
      <c r="BK188" s="11"/>
    </row>
    <row r="189" spans="1:63" ht="9.6" customHeight="1" x14ac:dyDescent="0.25">
      <c r="A189" s="120"/>
      <c r="B189" s="219"/>
      <c r="C189" s="174"/>
      <c r="D189" s="148"/>
      <c r="E189" s="173"/>
      <c r="F189" s="149"/>
      <c r="G189" s="149"/>
      <c r="H189" s="179"/>
      <c r="I189" s="180"/>
      <c r="J189" s="204">
        <f>H189/$H$83</f>
        <v>0</v>
      </c>
      <c r="K189" s="204">
        <f>I189/$I$88</f>
        <v>0</v>
      </c>
      <c r="L189" s="123"/>
      <c r="M189" s="124"/>
      <c r="N189" s="124"/>
      <c r="O189" s="124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25"/>
      <c r="AF189" s="125"/>
      <c r="AG189" s="126"/>
      <c r="AH189" s="126"/>
      <c r="AI189" s="126"/>
      <c r="AJ189" s="126"/>
      <c r="AK189" s="126"/>
      <c r="AL189" s="126"/>
      <c r="AM189" s="126"/>
      <c r="AN189" s="126"/>
      <c r="AO189" s="126"/>
      <c r="AP189" s="126"/>
      <c r="AQ189" s="126"/>
      <c r="AR189" s="126"/>
      <c r="AS189" s="126"/>
      <c r="AT189" s="126"/>
      <c r="AU189" s="126"/>
      <c r="AV189" s="126"/>
      <c r="AW189" s="126"/>
      <c r="AX189" s="126"/>
      <c r="AY189" s="126"/>
      <c r="AZ189" s="126"/>
      <c r="BA189" s="126"/>
      <c r="BB189" s="126"/>
      <c r="BC189" s="126"/>
      <c r="BD189" s="126"/>
      <c r="BE189" s="126"/>
      <c r="BF189" s="126"/>
      <c r="BG189" s="126"/>
      <c r="BH189" s="126"/>
      <c r="BI189" s="127"/>
      <c r="BJ189" s="119">
        <f t="shared" ref="BJ189:BJ206" si="528">SUM(L189:BI189)</f>
        <v>0</v>
      </c>
    </row>
    <row r="190" spans="1:63" ht="21.75" customHeight="1" x14ac:dyDescent="0.25">
      <c r="A190" s="193" t="str">
        <f>Empreendimentos!B107</f>
        <v>QAV02</v>
      </c>
      <c r="B190" s="154" t="str">
        <f>Empreendimentos!C107</f>
        <v>Área publica</v>
      </c>
      <c r="C190" s="197" t="str">
        <f>$C$351</f>
        <v>Parque</v>
      </c>
      <c r="D190" s="188"/>
      <c r="E190" s="189">
        <f>Empreendimentos!D107</f>
        <v>4919.1000000000004</v>
      </c>
      <c r="F190" s="190">
        <f>Empreendimentos!H120</f>
        <v>0</v>
      </c>
      <c r="G190" s="190">
        <f>E190</f>
        <v>4919.1000000000004</v>
      </c>
      <c r="H190" s="191">
        <f>F190*VLOOKUP(C190,$C$337:$E$351,2,FALSE)</f>
        <v>0</v>
      </c>
      <c r="I190" s="192">
        <f>G190*VLOOKUP(C190,$C$337:$E$351,3,FALSE)</f>
        <v>787056</v>
      </c>
      <c r="J190" s="205">
        <f>H190/$H$209</f>
        <v>0</v>
      </c>
      <c r="K190" s="205">
        <f>I190/$I$214</f>
        <v>4.2518327715989745E-4</v>
      </c>
      <c r="L190" s="181"/>
      <c r="M190" s="182"/>
      <c r="N190" s="182"/>
      <c r="O190" s="182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>
        <v>0.5</v>
      </c>
      <c r="AA190" s="183"/>
      <c r="AB190" s="183"/>
      <c r="AC190" s="183"/>
      <c r="AD190" s="183"/>
      <c r="AE190" s="183"/>
      <c r="AF190" s="183">
        <v>0.5</v>
      </c>
      <c r="AG190" s="184"/>
      <c r="AH190" s="184"/>
      <c r="AI190" s="184"/>
      <c r="AJ190" s="184"/>
      <c r="AK190" s="184"/>
      <c r="AL190" s="184"/>
      <c r="AM190" s="184"/>
      <c r="AN190" s="184"/>
      <c r="AO190" s="184"/>
      <c r="AP190" s="184"/>
      <c r="AQ190" s="184"/>
      <c r="AR190" s="184"/>
      <c r="AS190" s="184"/>
      <c r="AT190" s="184"/>
      <c r="AU190" s="184"/>
      <c r="AV190" s="184"/>
      <c r="AW190" s="184"/>
      <c r="AX190" s="184"/>
      <c r="AY190" s="184"/>
      <c r="AZ190" s="184"/>
      <c r="BA190" s="184"/>
      <c r="BB190" s="184"/>
      <c r="BC190" s="184"/>
      <c r="BD190" s="184"/>
      <c r="BE190" s="184"/>
      <c r="BF190" s="184"/>
      <c r="BG190" s="184"/>
      <c r="BH190" s="184"/>
      <c r="BI190" s="185"/>
      <c r="BJ190" s="119">
        <f t="shared" si="528"/>
        <v>1</v>
      </c>
      <c r="BK190" s="11"/>
    </row>
    <row r="191" spans="1:63" ht="9.6" customHeight="1" x14ac:dyDescent="0.25">
      <c r="A191" s="120"/>
      <c r="B191" s="219"/>
      <c r="C191" s="174"/>
      <c r="D191" s="148"/>
      <c r="E191" s="173"/>
      <c r="F191" s="149"/>
      <c r="G191" s="149"/>
      <c r="H191" s="179"/>
      <c r="I191" s="180"/>
      <c r="J191" s="204"/>
      <c r="K191" s="204"/>
      <c r="L191" s="123"/>
      <c r="M191" s="124"/>
      <c r="N191" s="124"/>
      <c r="O191" s="128"/>
      <c r="P191" s="128"/>
      <c r="Q191" s="128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5"/>
      <c r="AE191" s="125"/>
      <c r="AF191" s="125"/>
      <c r="AG191" s="126"/>
      <c r="AH191" s="126"/>
      <c r="AI191" s="126"/>
      <c r="AJ191" s="126"/>
      <c r="AK191" s="126"/>
      <c r="AL191" s="126"/>
      <c r="AM191" s="126"/>
      <c r="AN191" s="126"/>
      <c r="AO191" s="126"/>
      <c r="AP191" s="126"/>
      <c r="AQ191" s="126"/>
      <c r="AR191" s="126"/>
      <c r="AS191" s="126"/>
      <c r="AT191" s="126"/>
      <c r="AU191" s="126"/>
      <c r="AV191" s="126"/>
      <c r="AW191" s="126"/>
      <c r="AX191" s="126"/>
      <c r="AY191" s="126"/>
      <c r="AZ191" s="126"/>
      <c r="BA191" s="126"/>
      <c r="BB191" s="126"/>
      <c r="BC191" s="126"/>
      <c r="BD191" s="126"/>
      <c r="BE191" s="126"/>
      <c r="BF191" s="126"/>
      <c r="BG191" s="126"/>
      <c r="BH191" s="126"/>
      <c r="BI191" s="127"/>
      <c r="BJ191" s="119">
        <f t="shared" si="528"/>
        <v>0</v>
      </c>
    </row>
    <row r="192" spans="1:63" ht="21.75" customHeight="1" x14ac:dyDescent="0.25">
      <c r="A192" s="193" t="str">
        <f>Empreendimentos!B109</f>
        <v>QAV03</v>
      </c>
      <c r="B192" s="154" t="str">
        <f>Empreendimentos!C109</f>
        <v>Residencial</v>
      </c>
      <c r="C192" s="197" t="str">
        <f>$C$340</f>
        <v>Luxo</v>
      </c>
      <c r="D192" s="188">
        <f>Empreendimentos!L109</f>
        <v>4</v>
      </c>
      <c r="E192" s="189">
        <f>Empreendimentos!M109</f>
        <v>138.86503007812502</v>
      </c>
      <c r="F192" s="190">
        <f>Empreendimentos!H109</f>
        <v>53324.171550000006</v>
      </c>
      <c r="G192" s="190">
        <f>Empreendimentos!I109</f>
        <v>87416.674672131165</v>
      </c>
      <c r="H192" s="191">
        <f>F192*VLOOKUP(C192,$C$337:$E$351,2,FALSE)</f>
        <v>506579629.72500008</v>
      </c>
      <c r="I192" s="192">
        <f>G192*VLOOKUP(C192,$C$337:$E$351,3,FALSE)</f>
        <v>343159056.13006622</v>
      </c>
      <c r="J192" s="205">
        <f>H192/$H$209</f>
        <v>0.165651361833803</v>
      </c>
      <c r="K192" s="205">
        <f>I192/$I$214</f>
        <v>0.18538133509239338</v>
      </c>
      <c r="L192" s="181"/>
      <c r="M192" s="182">
        <f>'Cronogramaa Fisico'!E49</f>
        <v>0</v>
      </c>
      <c r="N192" s="182">
        <f>'Cronogramaa Fisico'!F49</f>
        <v>0</v>
      </c>
      <c r="O192" s="182">
        <f>'Cronogramaa Fisico'!G49</f>
        <v>0</v>
      </c>
      <c r="P192" s="182">
        <f>'Cronogramaa Fisico'!H49</f>
        <v>0</v>
      </c>
      <c r="Q192" s="182">
        <f>'Cronogramaa Fisico'!I49</f>
        <v>0</v>
      </c>
      <c r="R192" s="182">
        <f>'Cronogramaa Fisico'!J49</f>
        <v>0</v>
      </c>
      <c r="S192" s="182">
        <f>'Cronogramaa Fisico'!K49</f>
        <v>0</v>
      </c>
      <c r="T192" s="182">
        <f>'Cronogramaa Fisico'!L49</f>
        <v>0</v>
      </c>
      <c r="U192" s="182">
        <f>'Cronogramaa Fisico'!M49</f>
        <v>0</v>
      </c>
      <c r="V192" s="182">
        <f>'Cronogramaa Fisico'!N49</f>
        <v>0</v>
      </c>
      <c r="W192" s="182">
        <f>'Cronogramaa Fisico'!O49</f>
        <v>0</v>
      </c>
      <c r="X192" s="182">
        <f>'Cronogramaa Fisico'!P49</f>
        <v>0</v>
      </c>
      <c r="Y192" s="182">
        <f>'Cronogramaa Fisico'!Q49</f>
        <v>0</v>
      </c>
      <c r="Z192" s="182">
        <f>'Cronogramaa Fisico'!R49</f>
        <v>0</v>
      </c>
      <c r="AA192" s="182">
        <f>'Cronogramaa Fisico'!S49</f>
        <v>0.02</v>
      </c>
      <c r="AB192" s="182">
        <f>'Cronogramaa Fisico'!T49</f>
        <v>0.02</v>
      </c>
      <c r="AC192" s="182">
        <f>'Cronogramaa Fisico'!U49</f>
        <v>0.03</v>
      </c>
      <c r="AD192" s="182">
        <f>'Cronogramaa Fisico'!V49</f>
        <v>0.03</v>
      </c>
      <c r="AE192" s="182">
        <f>'Cronogramaa Fisico'!W49</f>
        <v>0.03</v>
      </c>
      <c r="AF192" s="182">
        <f>'Cronogramaa Fisico'!X49</f>
        <v>0.03</v>
      </c>
      <c r="AG192" s="182">
        <f>'Cronogramaa Fisico'!Y49</f>
        <v>0.04</v>
      </c>
      <c r="AH192" s="182">
        <f>'Cronogramaa Fisico'!Z49</f>
        <v>0.04</v>
      </c>
      <c r="AI192" s="182">
        <f>'Cronogramaa Fisico'!AA49</f>
        <v>0.04</v>
      </c>
      <c r="AJ192" s="182">
        <f>'Cronogramaa Fisico'!AB49</f>
        <v>0.04</v>
      </c>
      <c r="AK192" s="182">
        <f>'Cronogramaa Fisico'!AC49</f>
        <v>0.05</v>
      </c>
      <c r="AL192" s="182">
        <f>'Cronogramaa Fisico'!AD49</f>
        <v>0.05</v>
      </c>
      <c r="AM192" s="182">
        <f>'Cronogramaa Fisico'!AE49</f>
        <v>0.05</v>
      </c>
      <c r="AN192" s="182">
        <f>'Cronogramaa Fisico'!AF49</f>
        <v>0.04</v>
      </c>
      <c r="AO192" s="182">
        <f>'Cronogramaa Fisico'!AG49</f>
        <v>0.04</v>
      </c>
      <c r="AP192" s="182">
        <f>'Cronogramaa Fisico'!AH49</f>
        <v>0.04</v>
      </c>
      <c r="AQ192" s="182">
        <f>'Cronogramaa Fisico'!AI49</f>
        <v>0.04</v>
      </c>
      <c r="AR192" s="182">
        <f>'Cronogramaa Fisico'!AJ49</f>
        <v>0.04</v>
      </c>
      <c r="AS192" s="182">
        <f>'Cronogramaa Fisico'!AK49</f>
        <v>0.04</v>
      </c>
      <c r="AT192" s="182">
        <f>'Cronogramaa Fisico'!AL49</f>
        <v>0.03</v>
      </c>
      <c r="AU192" s="182">
        <f>'Cronogramaa Fisico'!AM49</f>
        <v>0.03</v>
      </c>
      <c r="AV192" s="182">
        <f>'Cronogramaa Fisico'!AN49</f>
        <v>2.5000000000000001E-2</v>
      </c>
      <c r="AW192" s="182">
        <f>'Cronogramaa Fisico'!AO49</f>
        <v>2.5000000000000001E-2</v>
      </c>
      <c r="AX192" s="182">
        <f>'Cronogramaa Fisico'!AP49</f>
        <v>2.5000000000000001E-2</v>
      </c>
      <c r="AY192" s="182">
        <f>'Cronogramaa Fisico'!AQ49</f>
        <v>2.5000000000000001E-2</v>
      </c>
      <c r="AZ192" s="182">
        <f>'Cronogramaa Fisico'!AR49</f>
        <v>0.02</v>
      </c>
      <c r="BA192" s="182">
        <f>'Cronogramaa Fisico'!AS49</f>
        <v>0.02</v>
      </c>
      <c r="BB192" s="182">
        <f>'Cronogramaa Fisico'!AT49</f>
        <v>0.02</v>
      </c>
      <c r="BC192" s="182">
        <f>'Cronogramaa Fisico'!AU49</f>
        <v>0.01</v>
      </c>
      <c r="BD192" s="182">
        <f>'Cronogramaa Fisico'!AV49</f>
        <v>0.01</v>
      </c>
      <c r="BE192" s="182">
        <f>'Cronogramaa Fisico'!AW49</f>
        <v>0.01</v>
      </c>
      <c r="BF192" s="182">
        <f>'Cronogramaa Fisico'!AX49</f>
        <v>0.01</v>
      </c>
      <c r="BG192" s="182">
        <f>'Cronogramaa Fisico'!AY49</f>
        <v>0.01</v>
      </c>
      <c r="BH192" s="182">
        <f>'Cronogramaa Fisico'!AZ49</f>
        <v>0.01</v>
      </c>
      <c r="BI192" s="182">
        <f>'Cronogramaa Fisico'!BA49</f>
        <v>0.01</v>
      </c>
      <c r="BJ192" s="119">
        <f t="shared" si="528"/>
        <v>1.0000000000000004</v>
      </c>
      <c r="BK192" s="11"/>
    </row>
    <row r="193" spans="1:63" ht="9.6" customHeight="1" x14ac:dyDescent="0.25">
      <c r="A193" s="120"/>
      <c r="B193" s="219"/>
      <c r="C193" s="174"/>
      <c r="D193" s="148"/>
      <c r="E193" s="173"/>
      <c r="F193" s="149"/>
      <c r="G193" s="149"/>
      <c r="H193" s="179"/>
      <c r="I193" s="180"/>
      <c r="J193" s="204"/>
      <c r="K193" s="204"/>
      <c r="L193" s="123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  <c r="AC193" s="124"/>
      <c r="AD193" s="124"/>
      <c r="AE193" s="124"/>
      <c r="AF193" s="124"/>
      <c r="AG193" s="124"/>
      <c r="AH193" s="124"/>
      <c r="AI193" s="124"/>
      <c r="AJ193" s="124"/>
      <c r="AK193" s="124"/>
      <c r="AL193" s="124"/>
      <c r="AM193" s="124"/>
      <c r="AN193" s="124"/>
      <c r="AO193" s="124"/>
      <c r="AP193" s="124"/>
      <c r="AQ193" s="124"/>
      <c r="AR193" s="124"/>
      <c r="AS193" s="124"/>
      <c r="AT193" s="124"/>
      <c r="AU193" s="124"/>
      <c r="AV193" s="124"/>
      <c r="AW193" s="124"/>
      <c r="AX193" s="124"/>
      <c r="AY193" s="124"/>
      <c r="AZ193" s="124"/>
      <c r="BA193" s="124"/>
      <c r="BB193" s="124"/>
      <c r="BC193" s="124"/>
      <c r="BD193" s="124"/>
      <c r="BE193" s="124"/>
      <c r="BF193" s="124"/>
      <c r="BG193" s="124"/>
      <c r="BH193" s="124"/>
      <c r="BI193" s="124"/>
      <c r="BJ193" s="119">
        <f t="shared" si="528"/>
        <v>0</v>
      </c>
    </row>
    <row r="194" spans="1:63" ht="21.75" customHeight="1" x14ac:dyDescent="0.25">
      <c r="A194" s="193" t="str">
        <f>Empreendimentos!B111</f>
        <v>QAV04</v>
      </c>
      <c r="B194" s="154" t="str">
        <f>Empreendimentos!C111</f>
        <v>Residencial</v>
      </c>
      <c r="C194" s="197" t="str">
        <f>$C$339</f>
        <v>Médio</v>
      </c>
      <c r="D194" s="188">
        <f>Empreendimentos!L111</f>
        <v>4</v>
      </c>
      <c r="E194" s="189">
        <f>Empreendimentos!M111</f>
        <v>95.879736914062505</v>
      </c>
      <c r="F194" s="190">
        <f>Empreendimentos!H111</f>
        <v>36817.818975000002</v>
      </c>
      <c r="G194" s="190">
        <f>Empreendimentos!I111</f>
        <v>60357.080286885248</v>
      </c>
      <c r="H194" s="191">
        <f>F194*VLOOKUP(C194,$C$337:$E$351,2,FALSE)</f>
        <v>331360370.77500004</v>
      </c>
      <c r="I194" s="192">
        <f>G194*VLOOKUP(C194,$C$337:$E$351,3,FALSE)</f>
        <v>182257770.52347544</v>
      </c>
      <c r="J194" s="205">
        <f>H194/$H$209</f>
        <v>0.10835472540897506</v>
      </c>
      <c r="K194" s="205">
        <f>I194/$I$214</f>
        <v>9.8459266124682171E-2</v>
      </c>
      <c r="L194" s="181"/>
      <c r="M194" s="182">
        <f>M192</f>
        <v>0</v>
      </c>
      <c r="N194" s="182">
        <f t="shared" ref="N194:BI194" si="529">N192</f>
        <v>0</v>
      </c>
      <c r="O194" s="182">
        <f t="shared" si="529"/>
        <v>0</v>
      </c>
      <c r="P194" s="182">
        <f t="shared" si="529"/>
        <v>0</v>
      </c>
      <c r="Q194" s="182">
        <f t="shared" si="529"/>
        <v>0</v>
      </c>
      <c r="R194" s="182">
        <f t="shared" si="529"/>
        <v>0</v>
      </c>
      <c r="S194" s="182">
        <f t="shared" si="529"/>
        <v>0</v>
      </c>
      <c r="T194" s="182">
        <f t="shared" si="529"/>
        <v>0</v>
      </c>
      <c r="U194" s="182">
        <f t="shared" si="529"/>
        <v>0</v>
      </c>
      <c r="V194" s="182">
        <f t="shared" si="529"/>
        <v>0</v>
      </c>
      <c r="W194" s="182">
        <f t="shared" si="529"/>
        <v>0</v>
      </c>
      <c r="X194" s="182">
        <f t="shared" si="529"/>
        <v>0</v>
      </c>
      <c r="Y194" s="182">
        <f t="shared" si="529"/>
        <v>0</v>
      </c>
      <c r="Z194" s="182">
        <f t="shared" si="529"/>
        <v>0</v>
      </c>
      <c r="AA194" s="182">
        <f t="shared" si="529"/>
        <v>0.02</v>
      </c>
      <c r="AB194" s="182">
        <f t="shared" si="529"/>
        <v>0.02</v>
      </c>
      <c r="AC194" s="182">
        <f t="shared" si="529"/>
        <v>0.03</v>
      </c>
      <c r="AD194" s="182">
        <f t="shared" si="529"/>
        <v>0.03</v>
      </c>
      <c r="AE194" s="182">
        <f t="shared" si="529"/>
        <v>0.03</v>
      </c>
      <c r="AF194" s="182">
        <f t="shared" si="529"/>
        <v>0.03</v>
      </c>
      <c r="AG194" s="182">
        <f t="shared" si="529"/>
        <v>0.04</v>
      </c>
      <c r="AH194" s="182">
        <f t="shared" si="529"/>
        <v>0.04</v>
      </c>
      <c r="AI194" s="182">
        <f t="shared" si="529"/>
        <v>0.04</v>
      </c>
      <c r="AJ194" s="182">
        <f t="shared" si="529"/>
        <v>0.04</v>
      </c>
      <c r="AK194" s="182">
        <f t="shared" si="529"/>
        <v>0.05</v>
      </c>
      <c r="AL194" s="182">
        <f t="shared" si="529"/>
        <v>0.05</v>
      </c>
      <c r="AM194" s="182">
        <f t="shared" si="529"/>
        <v>0.05</v>
      </c>
      <c r="AN194" s="182">
        <f t="shared" si="529"/>
        <v>0.04</v>
      </c>
      <c r="AO194" s="182">
        <f t="shared" si="529"/>
        <v>0.04</v>
      </c>
      <c r="AP194" s="182">
        <f t="shared" si="529"/>
        <v>0.04</v>
      </c>
      <c r="AQ194" s="182">
        <f t="shared" si="529"/>
        <v>0.04</v>
      </c>
      <c r="AR194" s="182">
        <f t="shared" si="529"/>
        <v>0.04</v>
      </c>
      <c r="AS194" s="182">
        <f t="shared" si="529"/>
        <v>0.04</v>
      </c>
      <c r="AT194" s="182">
        <f t="shared" si="529"/>
        <v>0.03</v>
      </c>
      <c r="AU194" s="182">
        <f t="shared" si="529"/>
        <v>0.03</v>
      </c>
      <c r="AV194" s="182">
        <f t="shared" si="529"/>
        <v>2.5000000000000001E-2</v>
      </c>
      <c r="AW194" s="182">
        <f t="shared" si="529"/>
        <v>2.5000000000000001E-2</v>
      </c>
      <c r="AX194" s="182">
        <f t="shared" si="529"/>
        <v>2.5000000000000001E-2</v>
      </c>
      <c r="AY194" s="182">
        <f t="shared" si="529"/>
        <v>2.5000000000000001E-2</v>
      </c>
      <c r="AZ194" s="182">
        <f t="shared" si="529"/>
        <v>0.02</v>
      </c>
      <c r="BA194" s="182">
        <f t="shared" si="529"/>
        <v>0.02</v>
      </c>
      <c r="BB194" s="182">
        <f t="shared" si="529"/>
        <v>0.02</v>
      </c>
      <c r="BC194" s="182">
        <f t="shared" si="529"/>
        <v>0.01</v>
      </c>
      <c r="BD194" s="182">
        <f t="shared" si="529"/>
        <v>0.01</v>
      </c>
      <c r="BE194" s="182">
        <f t="shared" si="529"/>
        <v>0.01</v>
      </c>
      <c r="BF194" s="182">
        <f t="shared" si="529"/>
        <v>0.01</v>
      </c>
      <c r="BG194" s="182">
        <f t="shared" si="529"/>
        <v>0.01</v>
      </c>
      <c r="BH194" s="182">
        <f t="shared" si="529"/>
        <v>0.01</v>
      </c>
      <c r="BI194" s="182">
        <f t="shared" si="529"/>
        <v>0.01</v>
      </c>
      <c r="BJ194" s="119">
        <f t="shared" si="528"/>
        <v>1.0000000000000004</v>
      </c>
      <c r="BK194" s="11"/>
    </row>
    <row r="195" spans="1:63" ht="9.6" customHeight="1" x14ac:dyDescent="0.25">
      <c r="A195" s="120"/>
      <c r="B195" s="219"/>
      <c r="C195" s="174"/>
      <c r="D195" s="148"/>
      <c r="E195" s="173"/>
      <c r="F195" s="149"/>
      <c r="G195" s="149"/>
      <c r="H195" s="179"/>
      <c r="I195" s="180"/>
      <c r="J195" s="204"/>
      <c r="K195" s="204"/>
      <c r="L195" s="123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C195" s="124"/>
      <c r="AD195" s="124"/>
      <c r="AE195" s="124"/>
      <c r="AF195" s="124"/>
      <c r="AG195" s="124"/>
      <c r="AH195" s="124"/>
      <c r="AI195" s="124"/>
      <c r="AJ195" s="124"/>
      <c r="AK195" s="124"/>
      <c r="AL195" s="124"/>
      <c r="AM195" s="124"/>
      <c r="AN195" s="124"/>
      <c r="AO195" s="124"/>
      <c r="AP195" s="124"/>
      <c r="AQ195" s="124"/>
      <c r="AR195" s="124"/>
      <c r="AS195" s="124"/>
      <c r="AT195" s="124"/>
      <c r="AU195" s="124"/>
      <c r="AV195" s="124"/>
      <c r="AW195" s="124"/>
      <c r="AX195" s="124"/>
      <c r="AY195" s="124"/>
      <c r="AZ195" s="124"/>
      <c r="BA195" s="124"/>
      <c r="BB195" s="124"/>
      <c r="BC195" s="124"/>
      <c r="BD195" s="124"/>
      <c r="BE195" s="124"/>
      <c r="BF195" s="124"/>
      <c r="BG195" s="124"/>
      <c r="BH195" s="124"/>
      <c r="BI195" s="124"/>
      <c r="BJ195" s="119">
        <f t="shared" si="528"/>
        <v>0</v>
      </c>
    </row>
    <row r="196" spans="1:63" ht="21.75" customHeight="1" x14ac:dyDescent="0.25">
      <c r="A196" s="193" t="str">
        <f>Empreendimentos!B113</f>
        <v>QAV05</v>
      </c>
      <c r="B196" s="154" t="str">
        <f>Empreendimentos!C113</f>
        <v>Residencial</v>
      </c>
      <c r="C196" s="197" t="str">
        <f>$C$339</f>
        <v>Médio</v>
      </c>
      <c r="D196" s="188">
        <f>Empreendimentos!L113</f>
        <v>5</v>
      </c>
      <c r="E196" s="189">
        <f>Empreendimentos!M113</f>
        <v>100.81210125</v>
      </c>
      <c r="F196" s="190">
        <f>Empreendimentos!H113</f>
        <v>48389.808599999997</v>
      </c>
      <c r="G196" s="190">
        <f>Empreendimentos!I113</f>
        <v>79327.555081967206</v>
      </c>
      <c r="H196" s="191">
        <f>F196*VLOOKUP(C196,$C$337:$E$351,2,FALSE)</f>
        <v>435508277.39999998</v>
      </c>
      <c r="I196" s="192">
        <f>G196*VLOOKUP(C196,$C$337:$E$351,3,FALSE)</f>
        <v>239542125.98748043</v>
      </c>
      <c r="J196" s="205">
        <f>H196/$H$209</f>
        <v>0.14241105446811328</v>
      </c>
      <c r="K196" s="205">
        <f>I196/$I$214</f>
        <v>0.12940541225174063</v>
      </c>
      <c r="L196" s="181"/>
      <c r="M196" s="182">
        <f>M192</f>
        <v>0</v>
      </c>
      <c r="N196" s="182">
        <f t="shared" ref="N196:BI196" si="530">N192</f>
        <v>0</v>
      </c>
      <c r="O196" s="182">
        <f t="shared" si="530"/>
        <v>0</v>
      </c>
      <c r="P196" s="182">
        <f t="shared" si="530"/>
        <v>0</v>
      </c>
      <c r="Q196" s="182">
        <f t="shared" si="530"/>
        <v>0</v>
      </c>
      <c r="R196" s="182">
        <f t="shared" si="530"/>
        <v>0</v>
      </c>
      <c r="S196" s="182">
        <f t="shared" si="530"/>
        <v>0</v>
      </c>
      <c r="T196" s="182">
        <f t="shared" si="530"/>
        <v>0</v>
      </c>
      <c r="U196" s="182">
        <f t="shared" si="530"/>
        <v>0</v>
      </c>
      <c r="V196" s="182">
        <f t="shared" si="530"/>
        <v>0</v>
      </c>
      <c r="W196" s="182">
        <f t="shared" si="530"/>
        <v>0</v>
      </c>
      <c r="X196" s="182">
        <f t="shared" si="530"/>
        <v>0</v>
      </c>
      <c r="Y196" s="182">
        <f t="shared" si="530"/>
        <v>0</v>
      </c>
      <c r="Z196" s="182">
        <f t="shared" si="530"/>
        <v>0</v>
      </c>
      <c r="AA196" s="182">
        <f t="shared" si="530"/>
        <v>0.02</v>
      </c>
      <c r="AB196" s="182">
        <f t="shared" si="530"/>
        <v>0.02</v>
      </c>
      <c r="AC196" s="182">
        <f t="shared" si="530"/>
        <v>0.03</v>
      </c>
      <c r="AD196" s="182">
        <f t="shared" si="530"/>
        <v>0.03</v>
      </c>
      <c r="AE196" s="182">
        <f t="shared" si="530"/>
        <v>0.03</v>
      </c>
      <c r="AF196" s="182">
        <f t="shared" si="530"/>
        <v>0.03</v>
      </c>
      <c r="AG196" s="182">
        <f t="shared" si="530"/>
        <v>0.04</v>
      </c>
      <c r="AH196" s="182">
        <f t="shared" si="530"/>
        <v>0.04</v>
      </c>
      <c r="AI196" s="182">
        <f t="shared" si="530"/>
        <v>0.04</v>
      </c>
      <c r="AJ196" s="182">
        <f t="shared" si="530"/>
        <v>0.04</v>
      </c>
      <c r="AK196" s="182">
        <f t="shared" si="530"/>
        <v>0.05</v>
      </c>
      <c r="AL196" s="182">
        <f t="shared" si="530"/>
        <v>0.05</v>
      </c>
      <c r="AM196" s="182">
        <f t="shared" si="530"/>
        <v>0.05</v>
      </c>
      <c r="AN196" s="182">
        <f t="shared" si="530"/>
        <v>0.04</v>
      </c>
      <c r="AO196" s="182">
        <f t="shared" si="530"/>
        <v>0.04</v>
      </c>
      <c r="AP196" s="182">
        <f t="shared" si="530"/>
        <v>0.04</v>
      </c>
      <c r="AQ196" s="182">
        <f t="shared" si="530"/>
        <v>0.04</v>
      </c>
      <c r="AR196" s="182">
        <f t="shared" si="530"/>
        <v>0.04</v>
      </c>
      <c r="AS196" s="182">
        <f t="shared" si="530"/>
        <v>0.04</v>
      </c>
      <c r="AT196" s="182">
        <f t="shared" si="530"/>
        <v>0.03</v>
      </c>
      <c r="AU196" s="182">
        <f t="shared" si="530"/>
        <v>0.03</v>
      </c>
      <c r="AV196" s="182">
        <f t="shared" si="530"/>
        <v>2.5000000000000001E-2</v>
      </c>
      <c r="AW196" s="182">
        <f t="shared" si="530"/>
        <v>2.5000000000000001E-2</v>
      </c>
      <c r="AX196" s="182">
        <f t="shared" si="530"/>
        <v>2.5000000000000001E-2</v>
      </c>
      <c r="AY196" s="182">
        <f t="shared" si="530"/>
        <v>2.5000000000000001E-2</v>
      </c>
      <c r="AZ196" s="182">
        <f t="shared" si="530"/>
        <v>0.02</v>
      </c>
      <c r="BA196" s="182">
        <f t="shared" si="530"/>
        <v>0.02</v>
      </c>
      <c r="BB196" s="182">
        <f t="shared" si="530"/>
        <v>0.02</v>
      </c>
      <c r="BC196" s="182">
        <f t="shared" si="530"/>
        <v>0.01</v>
      </c>
      <c r="BD196" s="182">
        <f t="shared" si="530"/>
        <v>0.01</v>
      </c>
      <c r="BE196" s="182">
        <f t="shared" si="530"/>
        <v>0.01</v>
      </c>
      <c r="BF196" s="182">
        <f t="shared" si="530"/>
        <v>0.01</v>
      </c>
      <c r="BG196" s="182">
        <f t="shared" si="530"/>
        <v>0.01</v>
      </c>
      <c r="BH196" s="182">
        <f t="shared" si="530"/>
        <v>0.01</v>
      </c>
      <c r="BI196" s="182">
        <f t="shared" si="530"/>
        <v>0.01</v>
      </c>
      <c r="BJ196" s="119">
        <f t="shared" si="528"/>
        <v>1.0000000000000004</v>
      </c>
      <c r="BK196" s="11"/>
    </row>
    <row r="197" spans="1:63" ht="9.6" customHeight="1" x14ac:dyDescent="0.25">
      <c r="A197" s="120"/>
      <c r="B197" s="219"/>
      <c r="C197" s="174"/>
      <c r="D197" s="148"/>
      <c r="E197" s="173"/>
      <c r="F197" s="149"/>
      <c r="G197" s="149"/>
      <c r="H197" s="179"/>
      <c r="I197" s="180"/>
      <c r="J197" s="204"/>
      <c r="K197" s="204"/>
      <c r="L197" s="123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  <c r="AD197" s="124"/>
      <c r="AE197" s="124"/>
      <c r="AF197" s="124"/>
      <c r="AG197" s="124"/>
      <c r="AH197" s="124"/>
      <c r="AI197" s="124"/>
      <c r="AJ197" s="124"/>
      <c r="AK197" s="124"/>
      <c r="AL197" s="124"/>
      <c r="AM197" s="124"/>
      <c r="AN197" s="124"/>
      <c r="AO197" s="124"/>
      <c r="AP197" s="124"/>
      <c r="AQ197" s="124"/>
      <c r="AR197" s="124"/>
      <c r="AS197" s="124"/>
      <c r="AT197" s="124"/>
      <c r="AU197" s="124"/>
      <c r="AV197" s="124"/>
      <c r="AW197" s="124"/>
      <c r="AX197" s="124"/>
      <c r="AY197" s="124"/>
      <c r="AZ197" s="124"/>
      <c r="BA197" s="124"/>
      <c r="BB197" s="124"/>
      <c r="BC197" s="124"/>
      <c r="BD197" s="124"/>
      <c r="BE197" s="124"/>
      <c r="BF197" s="124"/>
      <c r="BG197" s="124"/>
      <c r="BH197" s="124"/>
      <c r="BI197" s="124"/>
      <c r="BJ197" s="119">
        <f t="shared" si="528"/>
        <v>0</v>
      </c>
    </row>
    <row r="198" spans="1:63" ht="21.75" customHeight="1" x14ac:dyDescent="0.25">
      <c r="A198" s="193" t="str">
        <f>Empreendimentos!B115</f>
        <v>QAV06</v>
      </c>
      <c r="B198" s="154" t="str">
        <f>Empreendimentos!C115</f>
        <v>Residencial</v>
      </c>
      <c r="C198" s="197" t="str">
        <f>$C$339</f>
        <v>Médio</v>
      </c>
      <c r="D198" s="188">
        <f>Empreendimentos!L115</f>
        <v>4</v>
      </c>
      <c r="E198" s="189">
        <f>Empreendimentos!M115</f>
        <v>113.56821843750002</v>
      </c>
      <c r="F198" s="190">
        <f>Empreendimentos!H115</f>
        <v>43610.195880000007</v>
      </c>
      <c r="G198" s="190">
        <f>Empreendimentos!I115</f>
        <v>71492.124393442631</v>
      </c>
      <c r="H198" s="191">
        <f>F198*VLOOKUP(C198,$C$337:$E$351,2,FALSE)</f>
        <v>392491762.92000008</v>
      </c>
      <c r="I198" s="192">
        <f>G198*VLOOKUP(C198,$C$337:$E$351,3,FALSE)</f>
        <v>215881801.10771635</v>
      </c>
      <c r="J198" s="205">
        <f>H198/$H$209</f>
        <v>0.12834466927054078</v>
      </c>
      <c r="K198" s="205">
        <f>I198/$I$214</f>
        <v>0.11662363500711515</v>
      </c>
      <c r="L198" s="181"/>
      <c r="M198" s="182">
        <f>M192</f>
        <v>0</v>
      </c>
      <c r="N198" s="182">
        <f t="shared" ref="N198:BI198" si="531">N192</f>
        <v>0</v>
      </c>
      <c r="O198" s="182">
        <f t="shared" si="531"/>
        <v>0</v>
      </c>
      <c r="P198" s="182">
        <f t="shared" si="531"/>
        <v>0</v>
      </c>
      <c r="Q198" s="182">
        <f t="shared" si="531"/>
        <v>0</v>
      </c>
      <c r="R198" s="182">
        <f t="shared" si="531"/>
        <v>0</v>
      </c>
      <c r="S198" s="182">
        <f t="shared" si="531"/>
        <v>0</v>
      </c>
      <c r="T198" s="182">
        <f t="shared" si="531"/>
        <v>0</v>
      </c>
      <c r="U198" s="182">
        <f t="shared" si="531"/>
        <v>0</v>
      </c>
      <c r="V198" s="182">
        <f t="shared" si="531"/>
        <v>0</v>
      </c>
      <c r="W198" s="182">
        <f t="shared" si="531"/>
        <v>0</v>
      </c>
      <c r="X198" s="182">
        <f t="shared" si="531"/>
        <v>0</v>
      </c>
      <c r="Y198" s="182">
        <f t="shared" si="531"/>
        <v>0</v>
      </c>
      <c r="Z198" s="182">
        <f t="shared" si="531"/>
        <v>0</v>
      </c>
      <c r="AA198" s="182">
        <f t="shared" si="531"/>
        <v>0.02</v>
      </c>
      <c r="AB198" s="182">
        <f t="shared" si="531"/>
        <v>0.02</v>
      </c>
      <c r="AC198" s="182">
        <f t="shared" si="531"/>
        <v>0.03</v>
      </c>
      <c r="AD198" s="182">
        <f t="shared" si="531"/>
        <v>0.03</v>
      </c>
      <c r="AE198" s="182">
        <f t="shared" si="531"/>
        <v>0.03</v>
      </c>
      <c r="AF198" s="182">
        <f t="shared" si="531"/>
        <v>0.03</v>
      </c>
      <c r="AG198" s="182">
        <f t="shared" si="531"/>
        <v>0.04</v>
      </c>
      <c r="AH198" s="182">
        <f t="shared" si="531"/>
        <v>0.04</v>
      </c>
      <c r="AI198" s="182">
        <f t="shared" si="531"/>
        <v>0.04</v>
      </c>
      <c r="AJ198" s="182">
        <f t="shared" si="531"/>
        <v>0.04</v>
      </c>
      <c r="AK198" s="182">
        <f t="shared" si="531"/>
        <v>0.05</v>
      </c>
      <c r="AL198" s="182">
        <f t="shared" si="531"/>
        <v>0.05</v>
      </c>
      <c r="AM198" s="182">
        <f t="shared" si="531"/>
        <v>0.05</v>
      </c>
      <c r="AN198" s="182">
        <f t="shared" si="531"/>
        <v>0.04</v>
      </c>
      <c r="AO198" s="182">
        <f t="shared" si="531"/>
        <v>0.04</v>
      </c>
      <c r="AP198" s="182">
        <f t="shared" si="531"/>
        <v>0.04</v>
      </c>
      <c r="AQ198" s="182">
        <f t="shared" si="531"/>
        <v>0.04</v>
      </c>
      <c r="AR198" s="182">
        <f t="shared" si="531"/>
        <v>0.04</v>
      </c>
      <c r="AS198" s="182">
        <f t="shared" si="531"/>
        <v>0.04</v>
      </c>
      <c r="AT198" s="182">
        <f t="shared" si="531"/>
        <v>0.03</v>
      </c>
      <c r="AU198" s="182">
        <f t="shared" si="531"/>
        <v>0.03</v>
      </c>
      <c r="AV198" s="182">
        <f t="shared" si="531"/>
        <v>2.5000000000000001E-2</v>
      </c>
      <c r="AW198" s="182">
        <f t="shared" si="531"/>
        <v>2.5000000000000001E-2</v>
      </c>
      <c r="AX198" s="182">
        <f t="shared" si="531"/>
        <v>2.5000000000000001E-2</v>
      </c>
      <c r="AY198" s="182">
        <f t="shared" si="531"/>
        <v>2.5000000000000001E-2</v>
      </c>
      <c r="AZ198" s="182">
        <f t="shared" si="531"/>
        <v>0.02</v>
      </c>
      <c r="BA198" s="182">
        <f t="shared" si="531"/>
        <v>0.02</v>
      </c>
      <c r="BB198" s="182">
        <f t="shared" si="531"/>
        <v>0.02</v>
      </c>
      <c r="BC198" s="182">
        <f t="shared" si="531"/>
        <v>0.01</v>
      </c>
      <c r="BD198" s="182">
        <f t="shared" si="531"/>
        <v>0.01</v>
      </c>
      <c r="BE198" s="182">
        <f t="shared" si="531"/>
        <v>0.01</v>
      </c>
      <c r="BF198" s="182">
        <f t="shared" si="531"/>
        <v>0.01</v>
      </c>
      <c r="BG198" s="182">
        <f t="shared" si="531"/>
        <v>0.01</v>
      </c>
      <c r="BH198" s="182">
        <f t="shared" si="531"/>
        <v>0.01</v>
      </c>
      <c r="BI198" s="182">
        <f t="shared" si="531"/>
        <v>0.01</v>
      </c>
      <c r="BJ198" s="119">
        <f t="shared" si="528"/>
        <v>1.0000000000000004</v>
      </c>
      <c r="BK198" s="11"/>
    </row>
    <row r="199" spans="1:63" ht="9.6" customHeight="1" x14ac:dyDescent="0.25">
      <c r="A199" s="120"/>
      <c r="B199" s="219"/>
      <c r="C199" s="174"/>
      <c r="D199" s="148"/>
      <c r="E199" s="173"/>
      <c r="F199" s="149"/>
      <c r="G199" s="149"/>
      <c r="H199" s="179"/>
      <c r="I199" s="180"/>
      <c r="J199" s="204"/>
      <c r="K199" s="204"/>
      <c r="L199" s="123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  <c r="AE199" s="124"/>
      <c r="AF199" s="124"/>
      <c r="AG199" s="124"/>
      <c r="AH199" s="124"/>
      <c r="AI199" s="124"/>
      <c r="AJ199" s="124"/>
      <c r="AK199" s="124"/>
      <c r="AL199" s="124"/>
      <c r="AM199" s="124"/>
      <c r="AN199" s="124"/>
      <c r="AO199" s="124"/>
      <c r="AP199" s="124"/>
      <c r="AQ199" s="124"/>
      <c r="AR199" s="124"/>
      <c r="AS199" s="124"/>
      <c r="AT199" s="124"/>
      <c r="AU199" s="124"/>
      <c r="AV199" s="124"/>
      <c r="AW199" s="124"/>
      <c r="AX199" s="124"/>
      <c r="AY199" s="124"/>
      <c r="AZ199" s="124"/>
      <c r="BA199" s="124"/>
      <c r="BB199" s="124"/>
      <c r="BC199" s="124"/>
      <c r="BD199" s="124"/>
      <c r="BE199" s="124"/>
      <c r="BF199" s="124"/>
      <c r="BG199" s="124"/>
      <c r="BH199" s="124"/>
      <c r="BI199" s="124"/>
      <c r="BJ199" s="119">
        <f t="shared" si="528"/>
        <v>0</v>
      </c>
    </row>
    <row r="200" spans="1:63" ht="21.75" customHeight="1" x14ac:dyDescent="0.25">
      <c r="A200" s="193" t="str">
        <f>Empreendimentos!B117</f>
        <v>QAV07</v>
      </c>
      <c r="B200" s="154" t="str">
        <f>Empreendimentos!C117</f>
        <v>Residencial</v>
      </c>
      <c r="C200" s="197" t="str">
        <f>$C$340</f>
        <v>Luxo</v>
      </c>
      <c r="D200" s="188">
        <f>Empreendimentos!L117</f>
        <v>5</v>
      </c>
      <c r="E200" s="189">
        <f>Empreendimentos!M117</f>
        <v>140.9401455</v>
      </c>
      <c r="F200" s="190">
        <f>Empreendimentos!H117</f>
        <v>67651.269839999994</v>
      </c>
      <c r="G200" s="190">
        <f>Empreendimentos!I117</f>
        <v>110903.72104918031</v>
      </c>
      <c r="H200" s="191">
        <f>F200*VLOOKUP(C200,$C$337:$E$351,2,FALSE)</f>
        <v>642687063.4799999</v>
      </c>
      <c r="I200" s="192">
        <f>G200*VLOOKUP(C200,$C$337:$E$351,3,FALSE)</f>
        <v>435358773.1321221</v>
      </c>
      <c r="J200" s="205">
        <f>H200/$H$209</f>
        <v>0.2101584450922816</v>
      </c>
      <c r="K200" s="205">
        <f>I200/$I$214</f>
        <v>0.23518945272080766</v>
      </c>
      <c r="L200" s="181"/>
      <c r="M200" s="182">
        <f>M192</f>
        <v>0</v>
      </c>
      <c r="N200" s="182">
        <f t="shared" ref="N200:BI200" si="532">N192</f>
        <v>0</v>
      </c>
      <c r="O200" s="182">
        <f t="shared" si="532"/>
        <v>0</v>
      </c>
      <c r="P200" s="182">
        <f t="shared" si="532"/>
        <v>0</v>
      </c>
      <c r="Q200" s="182">
        <f t="shared" si="532"/>
        <v>0</v>
      </c>
      <c r="R200" s="182">
        <f t="shared" si="532"/>
        <v>0</v>
      </c>
      <c r="S200" s="182">
        <f t="shared" si="532"/>
        <v>0</v>
      </c>
      <c r="T200" s="182">
        <f t="shared" si="532"/>
        <v>0</v>
      </c>
      <c r="U200" s="182">
        <f t="shared" si="532"/>
        <v>0</v>
      </c>
      <c r="V200" s="182">
        <f t="shared" si="532"/>
        <v>0</v>
      </c>
      <c r="W200" s="182">
        <f t="shared" si="532"/>
        <v>0</v>
      </c>
      <c r="X200" s="182">
        <f t="shared" si="532"/>
        <v>0</v>
      </c>
      <c r="Y200" s="182">
        <f t="shared" si="532"/>
        <v>0</v>
      </c>
      <c r="Z200" s="182">
        <f t="shared" si="532"/>
        <v>0</v>
      </c>
      <c r="AA200" s="182">
        <f t="shared" si="532"/>
        <v>0.02</v>
      </c>
      <c r="AB200" s="182">
        <f t="shared" si="532"/>
        <v>0.02</v>
      </c>
      <c r="AC200" s="182">
        <f t="shared" si="532"/>
        <v>0.03</v>
      </c>
      <c r="AD200" s="182">
        <f t="shared" si="532"/>
        <v>0.03</v>
      </c>
      <c r="AE200" s="182">
        <f t="shared" si="532"/>
        <v>0.03</v>
      </c>
      <c r="AF200" s="182">
        <f t="shared" si="532"/>
        <v>0.03</v>
      </c>
      <c r="AG200" s="182">
        <f t="shared" si="532"/>
        <v>0.04</v>
      </c>
      <c r="AH200" s="182">
        <f t="shared" si="532"/>
        <v>0.04</v>
      </c>
      <c r="AI200" s="182">
        <f t="shared" si="532"/>
        <v>0.04</v>
      </c>
      <c r="AJ200" s="182">
        <f t="shared" si="532"/>
        <v>0.04</v>
      </c>
      <c r="AK200" s="182">
        <f t="shared" si="532"/>
        <v>0.05</v>
      </c>
      <c r="AL200" s="182">
        <f t="shared" si="532"/>
        <v>0.05</v>
      </c>
      <c r="AM200" s="182">
        <f t="shared" si="532"/>
        <v>0.05</v>
      </c>
      <c r="AN200" s="182">
        <f t="shared" si="532"/>
        <v>0.04</v>
      </c>
      <c r="AO200" s="182">
        <f t="shared" si="532"/>
        <v>0.04</v>
      </c>
      <c r="AP200" s="182">
        <f t="shared" si="532"/>
        <v>0.04</v>
      </c>
      <c r="AQ200" s="182">
        <f t="shared" si="532"/>
        <v>0.04</v>
      </c>
      <c r="AR200" s="182">
        <f t="shared" si="532"/>
        <v>0.04</v>
      </c>
      <c r="AS200" s="182">
        <f t="shared" si="532"/>
        <v>0.04</v>
      </c>
      <c r="AT200" s="182">
        <f t="shared" si="532"/>
        <v>0.03</v>
      </c>
      <c r="AU200" s="182">
        <f t="shared" si="532"/>
        <v>0.03</v>
      </c>
      <c r="AV200" s="182">
        <f t="shared" si="532"/>
        <v>2.5000000000000001E-2</v>
      </c>
      <c r="AW200" s="182">
        <f t="shared" si="532"/>
        <v>2.5000000000000001E-2</v>
      </c>
      <c r="AX200" s="182">
        <f t="shared" si="532"/>
        <v>2.5000000000000001E-2</v>
      </c>
      <c r="AY200" s="182">
        <f t="shared" si="532"/>
        <v>2.5000000000000001E-2</v>
      </c>
      <c r="AZ200" s="182">
        <f t="shared" si="532"/>
        <v>0.02</v>
      </c>
      <c r="BA200" s="182">
        <f t="shared" si="532"/>
        <v>0.02</v>
      </c>
      <c r="BB200" s="182">
        <f t="shared" si="532"/>
        <v>0.02</v>
      </c>
      <c r="BC200" s="182">
        <f t="shared" si="532"/>
        <v>0.01</v>
      </c>
      <c r="BD200" s="182">
        <f t="shared" si="532"/>
        <v>0.01</v>
      </c>
      <c r="BE200" s="182">
        <f t="shared" si="532"/>
        <v>0.01</v>
      </c>
      <c r="BF200" s="182">
        <f t="shared" si="532"/>
        <v>0.01</v>
      </c>
      <c r="BG200" s="182">
        <f t="shared" si="532"/>
        <v>0.01</v>
      </c>
      <c r="BH200" s="182">
        <f t="shared" si="532"/>
        <v>0.01</v>
      </c>
      <c r="BI200" s="182">
        <f t="shared" si="532"/>
        <v>0.01</v>
      </c>
      <c r="BJ200" s="119">
        <f t="shared" si="528"/>
        <v>1.0000000000000004</v>
      </c>
      <c r="BK200" s="11"/>
    </row>
    <row r="201" spans="1:63" ht="9.6" customHeight="1" x14ac:dyDescent="0.25">
      <c r="A201" s="120"/>
      <c r="B201" s="219"/>
      <c r="C201" s="174"/>
      <c r="D201" s="148"/>
      <c r="E201" s="173"/>
      <c r="F201" s="149"/>
      <c r="G201" s="149"/>
      <c r="H201" s="179"/>
      <c r="I201" s="180"/>
      <c r="J201" s="204"/>
      <c r="K201" s="204"/>
      <c r="L201" s="123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C201" s="124"/>
      <c r="AD201" s="124"/>
      <c r="AE201" s="124"/>
      <c r="AF201" s="124"/>
      <c r="AG201" s="124"/>
      <c r="AH201" s="124"/>
      <c r="AI201" s="124"/>
      <c r="AJ201" s="124"/>
      <c r="AK201" s="124"/>
      <c r="AL201" s="124"/>
      <c r="AM201" s="124"/>
      <c r="AN201" s="124"/>
      <c r="AO201" s="124"/>
      <c r="AP201" s="124"/>
      <c r="AQ201" s="124"/>
      <c r="AR201" s="124"/>
      <c r="AS201" s="124"/>
      <c r="AT201" s="124"/>
      <c r="AU201" s="124"/>
      <c r="AV201" s="124"/>
      <c r="AW201" s="124"/>
      <c r="AX201" s="124"/>
      <c r="AY201" s="124"/>
      <c r="AZ201" s="124"/>
      <c r="BA201" s="124"/>
      <c r="BB201" s="124"/>
      <c r="BC201" s="124"/>
      <c r="BD201" s="124"/>
      <c r="BE201" s="124"/>
      <c r="BF201" s="124"/>
      <c r="BG201" s="124"/>
      <c r="BH201" s="124"/>
      <c r="BI201" s="124"/>
      <c r="BJ201" s="119">
        <f t="shared" si="528"/>
        <v>0</v>
      </c>
    </row>
    <row r="202" spans="1:63" ht="21.75" customHeight="1" x14ac:dyDescent="0.25">
      <c r="A202" s="193" t="str">
        <f>Empreendimentos!B119</f>
        <v>QAV08</v>
      </c>
      <c r="B202" s="154" t="str">
        <f>Empreendimentos!C119</f>
        <v>Residencial</v>
      </c>
      <c r="C202" s="197" t="str">
        <f>$C$339</f>
        <v>Médio</v>
      </c>
      <c r="D202" s="188">
        <f>Empreendimentos!L119</f>
        <v>4</v>
      </c>
      <c r="E202" s="189">
        <f>Empreendimentos!M119</f>
        <v>57.688385902777782</v>
      </c>
      <c r="F202" s="190">
        <f>Empreendimentos!H119</f>
        <v>33228.510280000002</v>
      </c>
      <c r="G202" s="190">
        <f>Empreendimentos!I119</f>
        <v>54472.967672131155</v>
      </c>
      <c r="H202" s="191">
        <f>F202*VLOOKUP(C202,$C$337:$E$351,2,FALSE)</f>
        <v>299056592.52000004</v>
      </c>
      <c r="I202" s="192">
        <f>G202*VLOOKUP(C202,$C$337:$E$351,3,FALSE)</f>
        <v>164489759.85137603</v>
      </c>
      <c r="J202" s="205">
        <f>H202/$H$209</f>
        <v>9.7791401212100323E-2</v>
      </c>
      <c r="K202" s="205">
        <f>I202/$I$214</f>
        <v>8.886063399917235E-2</v>
      </c>
      <c r="L202" s="181"/>
      <c r="M202" s="182">
        <f>M192</f>
        <v>0</v>
      </c>
      <c r="N202" s="182">
        <f t="shared" ref="N202:BI202" si="533">N192</f>
        <v>0</v>
      </c>
      <c r="O202" s="182">
        <f t="shared" si="533"/>
        <v>0</v>
      </c>
      <c r="P202" s="182">
        <f t="shared" si="533"/>
        <v>0</v>
      </c>
      <c r="Q202" s="182">
        <f t="shared" si="533"/>
        <v>0</v>
      </c>
      <c r="R202" s="182">
        <f t="shared" si="533"/>
        <v>0</v>
      </c>
      <c r="S202" s="182">
        <f t="shared" si="533"/>
        <v>0</v>
      </c>
      <c r="T202" s="182">
        <f t="shared" si="533"/>
        <v>0</v>
      </c>
      <c r="U202" s="182">
        <f t="shared" si="533"/>
        <v>0</v>
      </c>
      <c r="V202" s="182">
        <f t="shared" si="533"/>
        <v>0</v>
      </c>
      <c r="W202" s="182">
        <f t="shared" si="533"/>
        <v>0</v>
      </c>
      <c r="X202" s="182">
        <f t="shared" si="533"/>
        <v>0</v>
      </c>
      <c r="Y202" s="182">
        <f t="shared" si="533"/>
        <v>0</v>
      </c>
      <c r="Z202" s="182">
        <f t="shared" si="533"/>
        <v>0</v>
      </c>
      <c r="AA202" s="182">
        <f t="shared" si="533"/>
        <v>0.02</v>
      </c>
      <c r="AB202" s="182">
        <f t="shared" si="533"/>
        <v>0.02</v>
      </c>
      <c r="AC202" s="182">
        <f t="shared" si="533"/>
        <v>0.03</v>
      </c>
      <c r="AD202" s="182">
        <f t="shared" si="533"/>
        <v>0.03</v>
      </c>
      <c r="AE202" s="182">
        <f t="shared" si="533"/>
        <v>0.03</v>
      </c>
      <c r="AF202" s="182">
        <f t="shared" si="533"/>
        <v>0.03</v>
      </c>
      <c r="AG202" s="182">
        <f t="shared" si="533"/>
        <v>0.04</v>
      </c>
      <c r="AH202" s="182">
        <f t="shared" si="533"/>
        <v>0.04</v>
      </c>
      <c r="AI202" s="182">
        <f t="shared" si="533"/>
        <v>0.04</v>
      </c>
      <c r="AJ202" s="182">
        <f t="shared" si="533"/>
        <v>0.04</v>
      </c>
      <c r="AK202" s="182">
        <f t="shared" si="533"/>
        <v>0.05</v>
      </c>
      <c r="AL202" s="182">
        <f t="shared" si="533"/>
        <v>0.05</v>
      </c>
      <c r="AM202" s="182">
        <f t="shared" si="533"/>
        <v>0.05</v>
      </c>
      <c r="AN202" s="182">
        <f t="shared" si="533"/>
        <v>0.04</v>
      </c>
      <c r="AO202" s="182">
        <f t="shared" si="533"/>
        <v>0.04</v>
      </c>
      <c r="AP202" s="182">
        <f t="shared" si="533"/>
        <v>0.04</v>
      </c>
      <c r="AQ202" s="182">
        <f t="shared" si="533"/>
        <v>0.04</v>
      </c>
      <c r="AR202" s="182">
        <f t="shared" si="533"/>
        <v>0.04</v>
      </c>
      <c r="AS202" s="182">
        <f t="shared" si="533"/>
        <v>0.04</v>
      </c>
      <c r="AT202" s="182">
        <f t="shared" si="533"/>
        <v>0.03</v>
      </c>
      <c r="AU202" s="182">
        <f t="shared" si="533"/>
        <v>0.03</v>
      </c>
      <c r="AV202" s="182">
        <f t="shared" si="533"/>
        <v>2.5000000000000001E-2</v>
      </c>
      <c r="AW202" s="182">
        <f t="shared" si="533"/>
        <v>2.5000000000000001E-2</v>
      </c>
      <c r="AX202" s="182">
        <f t="shared" si="533"/>
        <v>2.5000000000000001E-2</v>
      </c>
      <c r="AY202" s="182">
        <f t="shared" si="533"/>
        <v>2.5000000000000001E-2</v>
      </c>
      <c r="AZ202" s="182">
        <f t="shared" si="533"/>
        <v>0.02</v>
      </c>
      <c r="BA202" s="182">
        <f t="shared" si="533"/>
        <v>0.02</v>
      </c>
      <c r="BB202" s="182">
        <f t="shared" si="533"/>
        <v>0.02</v>
      </c>
      <c r="BC202" s="182">
        <f t="shared" si="533"/>
        <v>0.01</v>
      </c>
      <c r="BD202" s="182">
        <f t="shared" si="533"/>
        <v>0.01</v>
      </c>
      <c r="BE202" s="182">
        <f t="shared" si="533"/>
        <v>0.01</v>
      </c>
      <c r="BF202" s="182">
        <f t="shared" si="533"/>
        <v>0.01</v>
      </c>
      <c r="BG202" s="182">
        <f t="shared" si="533"/>
        <v>0.01</v>
      </c>
      <c r="BH202" s="182">
        <f t="shared" si="533"/>
        <v>0.01</v>
      </c>
      <c r="BI202" s="182">
        <f t="shared" si="533"/>
        <v>0.01</v>
      </c>
      <c r="BJ202" s="119">
        <f t="shared" si="528"/>
        <v>1.0000000000000004</v>
      </c>
      <c r="BK202" s="11"/>
    </row>
    <row r="203" spans="1:63" ht="9.6" customHeight="1" x14ac:dyDescent="0.25">
      <c r="A203" s="120"/>
      <c r="B203" s="219"/>
      <c r="C203" s="174"/>
      <c r="D203" s="148"/>
      <c r="E203" s="173"/>
      <c r="F203" s="149"/>
      <c r="G203" s="149"/>
      <c r="H203" s="179"/>
      <c r="I203" s="180"/>
      <c r="J203" s="204"/>
      <c r="K203" s="204"/>
      <c r="L203" s="123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  <c r="AD203" s="124"/>
      <c r="AE203" s="124"/>
      <c r="AF203" s="124"/>
      <c r="AG203" s="124"/>
      <c r="AH203" s="124"/>
      <c r="AI203" s="124"/>
      <c r="AJ203" s="124"/>
      <c r="AK203" s="124"/>
      <c r="AL203" s="124"/>
      <c r="AM203" s="124"/>
      <c r="AN203" s="124"/>
      <c r="AO203" s="124"/>
      <c r="AP203" s="124"/>
      <c r="AQ203" s="124"/>
      <c r="AR203" s="124"/>
      <c r="AS203" s="124"/>
      <c r="AT203" s="124"/>
      <c r="AU203" s="124"/>
      <c r="AV203" s="124"/>
      <c r="AW203" s="124"/>
      <c r="AX203" s="124"/>
      <c r="AY203" s="124"/>
      <c r="AZ203" s="124"/>
      <c r="BA203" s="124"/>
      <c r="BB203" s="124"/>
      <c r="BC203" s="124"/>
      <c r="BD203" s="124"/>
      <c r="BE203" s="124"/>
      <c r="BF203" s="124"/>
      <c r="BG203" s="124"/>
      <c r="BH203" s="124"/>
      <c r="BI203" s="124"/>
      <c r="BJ203" s="119">
        <f t="shared" si="528"/>
        <v>0</v>
      </c>
    </row>
    <row r="204" spans="1:63" ht="21.75" customHeight="1" x14ac:dyDescent="0.25">
      <c r="A204" s="193" t="str">
        <f>Empreendimentos!B121</f>
        <v>QAV09</v>
      </c>
      <c r="B204" s="154" t="str">
        <f>Empreendimentos!C121</f>
        <v>Residencial</v>
      </c>
      <c r="C204" s="197" t="str">
        <f>$C$339</f>
        <v>Médio</v>
      </c>
      <c r="D204" s="188">
        <f>Empreendimentos!L121</f>
        <v>5</v>
      </c>
      <c r="E204" s="189">
        <f>Empreendimentos!M121</f>
        <v>60.733055111111121</v>
      </c>
      <c r="F204" s="190">
        <f>Empreendimentos!H121</f>
        <v>43727.799680000004</v>
      </c>
      <c r="G204" s="190">
        <f>Empreendimentos!I121</f>
        <v>71684.917508196726</v>
      </c>
      <c r="H204" s="191">
        <f>F204*VLOOKUP(C204,$C$337:$E$351,2,FALSE)</f>
        <v>393550197.12</v>
      </c>
      <c r="I204" s="192">
        <f>G204*VLOOKUP(C204,$C$337:$E$351,3,FALSE)</f>
        <v>216463970.47542503</v>
      </c>
      <c r="J204" s="205">
        <f>H204/$H$209</f>
        <v>0.12869077688394134</v>
      </c>
      <c r="K204" s="205">
        <f>I204/$I$214</f>
        <v>0.11693813445775714</v>
      </c>
      <c r="L204" s="181"/>
      <c r="M204" s="182">
        <f>M192</f>
        <v>0</v>
      </c>
      <c r="N204" s="182">
        <f t="shared" ref="N204:BI204" si="534">N192</f>
        <v>0</v>
      </c>
      <c r="O204" s="182">
        <f t="shared" si="534"/>
        <v>0</v>
      </c>
      <c r="P204" s="182">
        <f t="shared" si="534"/>
        <v>0</v>
      </c>
      <c r="Q204" s="182">
        <f t="shared" si="534"/>
        <v>0</v>
      </c>
      <c r="R204" s="182">
        <f t="shared" si="534"/>
        <v>0</v>
      </c>
      <c r="S204" s="182">
        <f t="shared" si="534"/>
        <v>0</v>
      </c>
      <c r="T204" s="182">
        <f t="shared" si="534"/>
        <v>0</v>
      </c>
      <c r="U204" s="182">
        <f t="shared" si="534"/>
        <v>0</v>
      </c>
      <c r="V204" s="182">
        <f t="shared" si="534"/>
        <v>0</v>
      </c>
      <c r="W204" s="182">
        <f t="shared" si="534"/>
        <v>0</v>
      </c>
      <c r="X204" s="182">
        <f t="shared" si="534"/>
        <v>0</v>
      </c>
      <c r="Y204" s="182">
        <f t="shared" si="534"/>
        <v>0</v>
      </c>
      <c r="Z204" s="182">
        <f t="shared" si="534"/>
        <v>0</v>
      </c>
      <c r="AA204" s="182">
        <f t="shared" si="534"/>
        <v>0.02</v>
      </c>
      <c r="AB204" s="182">
        <f t="shared" si="534"/>
        <v>0.02</v>
      </c>
      <c r="AC204" s="182">
        <f t="shared" si="534"/>
        <v>0.03</v>
      </c>
      <c r="AD204" s="182">
        <f t="shared" si="534"/>
        <v>0.03</v>
      </c>
      <c r="AE204" s="182">
        <f t="shared" si="534"/>
        <v>0.03</v>
      </c>
      <c r="AF204" s="182">
        <f t="shared" si="534"/>
        <v>0.03</v>
      </c>
      <c r="AG204" s="182">
        <f t="shared" si="534"/>
        <v>0.04</v>
      </c>
      <c r="AH204" s="182">
        <f t="shared" si="534"/>
        <v>0.04</v>
      </c>
      <c r="AI204" s="182">
        <f t="shared" si="534"/>
        <v>0.04</v>
      </c>
      <c r="AJ204" s="182">
        <f t="shared" si="534"/>
        <v>0.04</v>
      </c>
      <c r="AK204" s="182">
        <f t="shared" si="534"/>
        <v>0.05</v>
      </c>
      <c r="AL204" s="182">
        <f t="shared" si="534"/>
        <v>0.05</v>
      </c>
      <c r="AM204" s="182">
        <f t="shared" si="534"/>
        <v>0.05</v>
      </c>
      <c r="AN204" s="182">
        <f t="shared" si="534"/>
        <v>0.04</v>
      </c>
      <c r="AO204" s="182">
        <f t="shared" si="534"/>
        <v>0.04</v>
      </c>
      <c r="AP204" s="182">
        <f t="shared" si="534"/>
        <v>0.04</v>
      </c>
      <c r="AQ204" s="182">
        <f t="shared" si="534"/>
        <v>0.04</v>
      </c>
      <c r="AR204" s="182">
        <f t="shared" si="534"/>
        <v>0.04</v>
      </c>
      <c r="AS204" s="182">
        <f t="shared" si="534"/>
        <v>0.04</v>
      </c>
      <c r="AT204" s="182">
        <f t="shared" si="534"/>
        <v>0.03</v>
      </c>
      <c r="AU204" s="182">
        <f t="shared" si="534"/>
        <v>0.03</v>
      </c>
      <c r="AV204" s="182">
        <f t="shared" si="534"/>
        <v>2.5000000000000001E-2</v>
      </c>
      <c r="AW204" s="182">
        <f t="shared" si="534"/>
        <v>2.5000000000000001E-2</v>
      </c>
      <c r="AX204" s="182">
        <f t="shared" si="534"/>
        <v>2.5000000000000001E-2</v>
      </c>
      <c r="AY204" s="182">
        <f t="shared" si="534"/>
        <v>2.5000000000000001E-2</v>
      </c>
      <c r="AZ204" s="182">
        <f t="shared" si="534"/>
        <v>0.02</v>
      </c>
      <c r="BA204" s="182">
        <f t="shared" si="534"/>
        <v>0.02</v>
      </c>
      <c r="BB204" s="182">
        <f t="shared" si="534"/>
        <v>0.02</v>
      </c>
      <c r="BC204" s="182">
        <f t="shared" si="534"/>
        <v>0.01</v>
      </c>
      <c r="BD204" s="182">
        <f t="shared" si="534"/>
        <v>0.01</v>
      </c>
      <c r="BE204" s="182">
        <f t="shared" si="534"/>
        <v>0.01</v>
      </c>
      <c r="BF204" s="182">
        <f t="shared" si="534"/>
        <v>0.01</v>
      </c>
      <c r="BG204" s="182">
        <f t="shared" si="534"/>
        <v>0.01</v>
      </c>
      <c r="BH204" s="182">
        <f t="shared" si="534"/>
        <v>0.01</v>
      </c>
      <c r="BI204" s="182">
        <f t="shared" si="534"/>
        <v>0.01</v>
      </c>
      <c r="BJ204" s="119">
        <f t="shared" si="528"/>
        <v>1.0000000000000004</v>
      </c>
      <c r="BK204" s="11"/>
    </row>
    <row r="205" spans="1:63" ht="9.6" customHeight="1" x14ac:dyDescent="0.25">
      <c r="A205" s="120"/>
      <c r="B205" s="219"/>
      <c r="C205" s="174"/>
      <c r="D205" s="148"/>
      <c r="E205" s="173"/>
      <c r="F205" s="149"/>
      <c r="G205" s="149"/>
      <c r="H205" s="179"/>
      <c r="I205" s="180"/>
      <c r="J205" s="204"/>
      <c r="K205" s="204"/>
      <c r="L205" s="123"/>
      <c r="M205" s="124"/>
      <c r="N205" s="124"/>
      <c r="O205" s="128"/>
      <c r="P205" s="128"/>
      <c r="Q205" s="128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5"/>
      <c r="AE205" s="125"/>
      <c r="AF205" s="125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126"/>
      <c r="AS205" s="126"/>
      <c r="AT205" s="126"/>
      <c r="AU205" s="126"/>
      <c r="AV205" s="126"/>
      <c r="AW205" s="126"/>
      <c r="AX205" s="126"/>
      <c r="AY205" s="126"/>
      <c r="AZ205" s="126"/>
      <c r="BA205" s="126"/>
      <c r="BB205" s="126"/>
      <c r="BC205" s="126"/>
      <c r="BD205" s="126"/>
      <c r="BE205" s="126"/>
      <c r="BF205" s="126"/>
      <c r="BG205" s="126"/>
      <c r="BH205" s="126"/>
      <c r="BI205" s="127"/>
      <c r="BJ205" s="119">
        <f t="shared" si="528"/>
        <v>0</v>
      </c>
    </row>
    <row r="206" spans="1:63" ht="21.75" customHeight="1" x14ac:dyDescent="0.25">
      <c r="A206" s="217"/>
      <c r="B206" s="218" t="s">
        <v>232</v>
      </c>
      <c r="C206" s="197" t="str">
        <f>$C$343</f>
        <v>Lote aberto</v>
      </c>
      <c r="D206" s="188"/>
      <c r="E206" s="189"/>
      <c r="F206" s="190"/>
      <c r="G206" s="190">
        <f>SUM(Empreendimentos!D105:D122)</f>
        <v>117221.50240000001</v>
      </c>
      <c r="H206" s="191">
        <f>F206*VLOOKUP(C206,$C$337:$E$351,2,FALSE)</f>
        <v>0</v>
      </c>
      <c r="I206" s="192">
        <f>G206*VLOOKUP(C206,$C$337:$E$351,3,FALSE)</f>
        <v>29305375.600000001</v>
      </c>
      <c r="J206" s="205">
        <f>H206/$H$209</f>
        <v>0</v>
      </c>
      <c r="K206" s="205">
        <f>I206/$I$214</f>
        <v>1.5831345718741358E-2</v>
      </c>
      <c r="L206" s="181"/>
      <c r="M206" s="182">
        <f>'Cronogramaa Fisico'!E48</f>
        <v>0</v>
      </c>
      <c r="N206" s="182">
        <f>'Cronogramaa Fisico'!F48</f>
        <v>0</v>
      </c>
      <c r="O206" s="182">
        <f>'Cronogramaa Fisico'!G48</f>
        <v>0</v>
      </c>
      <c r="P206" s="182">
        <f>'Cronogramaa Fisico'!H48</f>
        <v>0</v>
      </c>
      <c r="Q206" s="182">
        <f>'Cronogramaa Fisico'!I48</f>
        <v>0</v>
      </c>
      <c r="R206" s="182">
        <f>'Cronogramaa Fisico'!J48</f>
        <v>0</v>
      </c>
      <c r="S206" s="182">
        <f>'Cronogramaa Fisico'!K48</f>
        <v>0</v>
      </c>
      <c r="T206" s="182">
        <f>'Cronogramaa Fisico'!L48</f>
        <v>0</v>
      </c>
      <c r="U206" s="182">
        <f>'Cronogramaa Fisico'!M48</f>
        <v>0</v>
      </c>
      <c r="V206" s="182">
        <f>'Cronogramaa Fisico'!N48</f>
        <v>0</v>
      </c>
      <c r="W206" s="182">
        <f>'Cronogramaa Fisico'!O48</f>
        <v>0</v>
      </c>
      <c r="X206" s="182">
        <f>'Cronogramaa Fisico'!P48</f>
        <v>0</v>
      </c>
      <c r="Y206" s="182">
        <f>'Cronogramaa Fisico'!Q48</f>
        <v>0.2</v>
      </c>
      <c r="Z206" s="182">
        <f>'Cronogramaa Fisico'!R48</f>
        <v>0.3</v>
      </c>
      <c r="AA206" s="182">
        <f>'Cronogramaa Fisico'!S48</f>
        <v>0</v>
      </c>
      <c r="AB206" s="182">
        <f>'Cronogramaa Fisico'!T48</f>
        <v>0</v>
      </c>
      <c r="AC206" s="182">
        <f>'Cronogramaa Fisico'!U48</f>
        <v>0</v>
      </c>
      <c r="AD206" s="182">
        <f>'Cronogramaa Fisico'!V48</f>
        <v>0</v>
      </c>
      <c r="AE206" s="182">
        <f>'Cronogramaa Fisico'!W48</f>
        <v>0.2</v>
      </c>
      <c r="AF206" s="182">
        <f>'Cronogramaa Fisico'!X48</f>
        <v>0.3</v>
      </c>
      <c r="AG206" s="182">
        <f>'Cronogramaa Fisico'!Y48</f>
        <v>0</v>
      </c>
      <c r="AH206" s="182">
        <f>'Cronogramaa Fisico'!Z48</f>
        <v>0</v>
      </c>
      <c r="AI206" s="182">
        <f>'Cronogramaa Fisico'!AA48</f>
        <v>0</v>
      </c>
      <c r="AJ206" s="182">
        <f>'Cronogramaa Fisico'!AB48</f>
        <v>0</v>
      </c>
      <c r="AK206" s="182">
        <f>'Cronogramaa Fisico'!AC48</f>
        <v>0</v>
      </c>
      <c r="AL206" s="182">
        <f>'Cronogramaa Fisico'!AD48</f>
        <v>0</v>
      </c>
      <c r="AM206" s="182">
        <f>'Cronogramaa Fisico'!AE48</f>
        <v>0</v>
      </c>
      <c r="AN206" s="182">
        <f>'Cronogramaa Fisico'!AF48</f>
        <v>0</v>
      </c>
      <c r="AO206" s="182">
        <f>'Cronogramaa Fisico'!AG48</f>
        <v>0</v>
      </c>
      <c r="AP206" s="182">
        <f>'Cronogramaa Fisico'!AH48</f>
        <v>0</v>
      </c>
      <c r="AQ206" s="182">
        <f>'Cronogramaa Fisico'!AI48</f>
        <v>0</v>
      </c>
      <c r="AR206" s="182">
        <f>'Cronogramaa Fisico'!AJ48</f>
        <v>0</v>
      </c>
      <c r="AS206" s="182">
        <f>'Cronogramaa Fisico'!AK48</f>
        <v>0</v>
      </c>
      <c r="AT206" s="182">
        <f>'Cronogramaa Fisico'!AL48</f>
        <v>0</v>
      </c>
      <c r="AU206" s="182">
        <f>'Cronogramaa Fisico'!AM48</f>
        <v>0</v>
      </c>
      <c r="AV206" s="182">
        <f>'Cronogramaa Fisico'!AN48</f>
        <v>0</v>
      </c>
      <c r="AW206" s="182">
        <f>'Cronogramaa Fisico'!AO48</f>
        <v>0</v>
      </c>
      <c r="AX206" s="182">
        <f>'Cronogramaa Fisico'!AP48</f>
        <v>0</v>
      </c>
      <c r="AY206" s="182">
        <f>'Cronogramaa Fisico'!AQ48</f>
        <v>0</v>
      </c>
      <c r="AZ206" s="182">
        <f>'Cronogramaa Fisico'!AR48</f>
        <v>0</v>
      </c>
      <c r="BA206" s="182">
        <f>'Cronogramaa Fisico'!AS48</f>
        <v>0</v>
      </c>
      <c r="BB206" s="182">
        <f>'Cronogramaa Fisico'!AT48</f>
        <v>0</v>
      </c>
      <c r="BC206" s="182">
        <f>'Cronogramaa Fisico'!AU48</f>
        <v>0</v>
      </c>
      <c r="BD206" s="182">
        <f>'Cronogramaa Fisico'!AV48</f>
        <v>0</v>
      </c>
      <c r="BE206" s="182">
        <f>'Cronogramaa Fisico'!AW48</f>
        <v>0</v>
      </c>
      <c r="BF206" s="182">
        <f>'Cronogramaa Fisico'!AX48</f>
        <v>0</v>
      </c>
      <c r="BG206" s="182">
        <f>'Cronogramaa Fisico'!AY48</f>
        <v>0</v>
      </c>
      <c r="BH206" s="182">
        <f>'Cronogramaa Fisico'!AZ48</f>
        <v>0</v>
      </c>
      <c r="BI206" s="182">
        <f>'Cronogramaa Fisico'!BA48</f>
        <v>0</v>
      </c>
      <c r="BJ206" s="119">
        <f t="shared" si="528"/>
        <v>1</v>
      </c>
      <c r="BK206" s="11"/>
    </row>
    <row r="207" spans="1:63" s="13" customFormat="1" ht="9.6" customHeight="1" x14ac:dyDescent="0.25">
      <c r="A207" s="130"/>
      <c r="B207" s="131"/>
      <c r="C207" s="131"/>
      <c r="D207" s="131"/>
      <c r="E207" s="131"/>
      <c r="F207" s="131"/>
      <c r="G207" s="131"/>
      <c r="H207" s="131"/>
      <c r="I207" s="132"/>
      <c r="J207" s="207">
        <f>H207/$H$42</f>
        <v>0</v>
      </c>
      <c r="K207" s="207">
        <f>I207/$H$42</f>
        <v>0</v>
      </c>
      <c r="L207" s="133"/>
      <c r="M207" s="134"/>
      <c r="N207" s="134"/>
      <c r="O207" s="134"/>
      <c r="P207" s="135"/>
      <c r="Q207" s="135"/>
      <c r="R207" s="135"/>
      <c r="S207" s="135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7"/>
      <c r="AH207" s="137"/>
      <c r="AI207" s="137"/>
      <c r="AJ207" s="137"/>
      <c r="AK207" s="137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s="137"/>
      <c r="AV207" s="137"/>
      <c r="AW207" s="137"/>
      <c r="AX207" s="137"/>
      <c r="AY207" s="137"/>
      <c r="AZ207" s="137"/>
      <c r="BA207" s="137"/>
      <c r="BB207" s="137"/>
      <c r="BC207" s="137"/>
      <c r="BD207" s="137"/>
      <c r="BE207" s="137"/>
      <c r="BF207" s="137"/>
      <c r="BG207" s="137"/>
      <c r="BH207" s="137"/>
      <c r="BI207" s="138"/>
      <c r="BJ207" s="119">
        <f>SUM(K207:AI207)</f>
        <v>0</v>
      </c>
    </row>
    <row r="208" spans="1:63" s="13" customFormat="1" ht="7.8" customHeight="1" x14ac:dyDescent="0.25">
      <c r="A208" s="139"/>
      <c r="B208" s="140"/>
      <c r="C208" s="140"/>
      <c r="D208" s="140"/>
      <c r="E208" s="140"/>
      <c r="F208" s="140"/>
      <c r="G208" s="140"/>
      <c r="H208" s="140"/>
      <c r="I208" s="141"/>
      <c r="J208" s="140"/>
      <c r="K208" s="140"/>
      <c r="L208" s="139"/>
      <c r="M208" s="139"/>
      <c r="N208" s="139"/>
      <c r="O208" s="139"/>
      <c r="P208" s="139"/>
      <c r="Q208" s="139"/>
      <c r="R208" s="139"/>
      <c r="S208" s="139"/>
      <c r="T208" s="142"/>
      <c r="U208" s="142"/>
      <c r="V208" s="142"/>
      <c r="W208" s="142"/>
      <c r="X208" s="142"/>
      <c r="Y208" s="142"/>
      <c r="Z208" s="142"/>
      <c r="AA208" s="142"/>
      <c r="AB208" s="142"/>
      <c r="AC208" s="142"/>
      <c r="AD208" s="142"/>
      <c r="AE208" s="142"/>
      <c r="AF208" s="142"/>
      <c r="AG208" s="142"/>
      <c r="AH208" s="142"/>
      <c r="AI208" s="142"/>
      <c r="AJ208" s="142"/>
      <c r="AK208" s="142"/>
      <c r="AL208" s="142"/>
      <c r="AM208" s="142"/>
      <c r="AN208" s="142"/>
      <c r="AO208" s="142"/>
      <c r="AP208" s="142"/>
      <c r="AQ208" s="142"/>
      <c r="AR208" s="142"/>
      <c r="AS208" s="142"/>
      <c r="AT208" s="142"/>
      <c r="AU208" s="142"/>
      <c r="AV208" s="142"/>
      <c r="AW208" s="142"/>
      <c r="AX208" s="142"/>
      <c r="AY208" s="142"/>
      <c r="AZ208" s="142"/>
      <c r="BA208" s="142"/>
      <c r="BB208" s="142"/>
      <c r="BC208" s="142"/>
      <c r="BD208" s="142"/>
      <c r="BE208" s="142"/>
      <c r="BF208" s="142"/>
      <c r="BG208" s="142"/>
      <c r="BH208" s="142"/>
      <c r="BI208" s="142"/>
      <c r="BJ208" s="143"/>
    </row>
    <row r="209" spans="1:63" s="144" customFormat="1" ht="18" customHeight="1" x14ac:dyDescent="0.25">
      <c r="A209" s="379" t="s">
        <v>223</v>
      </c>
      <c r="B209" s="380"/>
      <c r="C209" s="385" t="s">
        <v>168</v>
      </c>
      <c r="D209" s="386"/>
      <c r="E209" s="386"/>
      <c r="F209" s="386"/>
      <c r="G209" s="387"/>
      <c r="H209" s="388">
        <f>H187</f>
        <v>3058107244.7400002</v>
      </c>
      <c r="I209" s="388"/>
      <c r="J209" s="389">
        <f>J187</f>
        <v>1</v>
      </c>
      <c r="K209" s="389"/>
      <c r="L209" s="163">
        <f t="shared" ref="L209:M209" si="535">SUMPRODUCT($H188:$H207,L188:L207)</f>
        <v>0</v>
      </c>
      <c r="M209" s="163">
        <f t="shared" si="535"/>
        <v>0</v>
      </c>
      <c r="N209" s="163">
        <f t="shared" ref="N209:BI209" si="536">SUMPRODUCT($H188:$H207,N188:N207)</f>
        <v>0</v>
      </c>
      <c r="O209" s="163">
        <f t="shared" si="536"/>
        <v>0</v>
      </c>
      <c r="P209" s="163">
        <f t="shared" si="536"/>
        <v>0</v>
      </c>
      <c r="Q209" s="163">
        <f t="shared" si="536"/>
        <v>0</v>
      </c>
      <c r="R209" s="163">
        <f t="shared" si="536"/>
        <v>0</v>
      </c>
      <c r="S209" s="163">
        <f t="shared" si="536"/>
        <v>0</v>
      </c>
      <c r="T209" s="163">
        <f t="shared" si="536"/>
        <v>0</v>
      </c>
      <c r="U209" s="163">
        <f t="shared" si="536"/>
        <v>0</v>
      </c>
      <c r="V209" s="163">
        <f t="shared" si="536"/>
        <v>0</v>
      </c>
      <c r="W209" s="163">
        <f t="shared" si="536"/>
        <v>0</v>
      </c>
      <c r="X209" s="163">
        <f t="shared" si="536"/>
        <v>0</v>
      </c>
      <c r="Y209" s="163">
        <f t="shared" si="536"/>
        <v>0</v>
      </c>
      <c r="Z209" s="163">
        <f t="shared" si="536"/>
        <v>0</v>
      </c>
      <c r="AA209" s="163">
        <f t="shared" si="536"/>
        <v>60024677.878800005</v>
      </c>
      <c r="AB209" s="163">
        <f t="shared" si="536"/>
        <v>60024677.878800005</v>
      </c>
      <c r="AC209" s="163">
        <f t="shared" si="536"/>
        <v>90037016.818199992</v>
      </c>
      <c r="AD209" s="163">
        <f t="shared" si="536"/>
        <v>90037016.818199992</v>
      </c>
      <c r="AE209" s="163">
        <f t="shared" si="536"/>
        <v>90037016.818199992</v>
      </c>
      <c r="AF209" s="163">
        <f t="shared" si="536"/>
        <v>90037016.818199992</v>
      </c>
      <c r="AG209" s="163">
        <f t="shared" si="536"/>
        <v>148486031.15759999</v>
      </c>
      <c r="AH209" s="163">
        <f t="shared" si="536"/>
        <v>120049355.75760001</v>
      </c>
      <c r="AI209" s="163">
        <f t="shared" si="536"/>
        <v>120049355.75760001</v>
      </c>
      <c r="AJ209" s="163">
        <f t="shared" si="536"/>
        <v>120049355.75760001</v>
      </c>
      <c r="AK209" s="163">
        <f t="shared" si="536"/>
        <v>150061694.697</v>
      </c>
      <c r="AL209" s="163">
        <f t="shared" si="536"/>
        <v>150061694.697</v>
      </c>
      <c r="AM209" s="163">
        <f t="shared" si="536"/>
        <v>150061694.697</v>
      </c>
      <c r="AN209" s="163">
        <f t="shared" si="536"/>
        <v>120049355.75760001</v>
      </c>
      <c r="AO209" s="163">
        <f t="shared" si="536"/>
        <v>120049355.75760001</v>
      </c>
      <c r="AP209" s="163">
        <f t="shared" si="536"/>
        <v>120049355.75760001</v>
      </c>
      <c r="AQ209" s="163">
        <f t="shared" si="536"/>
        <v>148486031.15759999</v>
      </c>
      <c r="AR209" s="163">
        <f t="shared" si="536"/>
        <v>120049355.75760001</v>
      </c>
      <c r="AS209" s="163">
        <f t="shared" si="536"/>
        <v>120049355.75760001</v>
      </c>
      <c r="AT209" s="163">
        <f t="shared" si="536"/>
        <v>90037016.818199992</v>
      </c>
      <c r="AU209" s="163">
        <f t="shared" si="536"/>
        <v>90037016.818199992</v>
      </c>
      <c r="AV209" s="163">
        <f t="shared" si="536"/>
        <v>75030847.348499998</v>
      </c>
      <c r="AW209" s="163">
        <f t="shared" si="536"/>
        <v>75030847.348499998</v>
      </c>
      <c r="AX209" s="163">
        <f t="shared" si="536"/>
        <v>75030847.348499998</v>
      </c>
      <c r="AY209" s="163">
        <f t="shared" si="536"/>
        <v>75030847.348499998</v>
      </c>
      <c r="AZ209" s="163">
        <f t="shared" si="536"/>
        <v>60024677.878800005</v>
      </c>
      <c r="BA209" s="163">
        <f t="shared" si="536"/>
        <v>60024677.878800005</v>
      </c>
      <c r="BB209" s="163">
        <f t="shared" si="536"/>
        <v>60024677.878800005</v>
      </c>
      <c r="BC209" s="163">
        <f t="shared" si="536"/>
        <v>30012338.939400002</v>
      </c>
      <c r="BD209" s="163">
        <f t="shared" si="536"/>
        <v>30012338.939400002</v>
      </c>
      <c r="BE209" s="163">
        <f t="shared" si="536"/>
        <v>30012338.939400002</v>
      </c>
      <c r="BF209" s="163">
        <f t="shared" si="536"/>
        <v>30012338.939400002</v>
      </c>
      <c r="BG209" s="163">
        <f t="shared" si="536"/>
        <v>30012338.939400002</v>
      </c>
      <c r="BH209" s="163">
        <f t="shared" si="536"/>
        <v>30012338.939400002</v>
      </c>
      <c r="BI209" s="163">
        <f t="shared" si="536"/>
        <v>30012338.939400002</v>
      </c>
    </row>
    <row r="210" spans="1:63" s="144" customFormat="1" ht="18" customHeight="1" x14ac:dyDescent="0.25">
      <c r="A210" s="381"/>
      <c r="B210" s="382"/>
      <c r="C210" s="385" t="s">
        <v>169</v>
      </c>
      <c r="D210" s="386"/>
      <c r="E210" s="386"/>
      <c r="F210" s="386"/>
      <c r="G210" s="387"/>
      <c r="H210" s="388"/>
      <c r="I210" s="388"/>
      <c r="J210" s="389"/>
      <c r="K210" s="389"/>
      <c r="L210" s="164">
        <f t="shared" ref="L210" si="537">L209+K210</f>
        <v>0</v>
      </c>
      <c r="M210" s="164">
        <f>M209+L210</f>
        <v>0</v>
      </c>
      <c r="N210" s="164">
        <f t="shared" ref="N210:BI210" si="538">N209+M210</f>
        <v>0</v>
      </c>
      <c r="O210" s="164">
        <f t="shared" si="538"/>
        <v>0</v>
      </c>
      <c r="P210" s="164">
        <f t="shared" si="538"/>
        <v>0</v>
      </c>
      <c r="Q210" s="164">
        <f t="shared" si="538"/>
        <v>0</v>
      </c>
      <c r="R210" s="164">
        <f t="shared" si="538"/>
        <v>0</v>
      </c>
      <c r="S210" s="164">
        <f t="shared" si="538"/>
        <v>0</v>
      </c>
      <c r="T210" s="164">
        <f t="shared" si="538"/>
        <v>0</v>
      </c>
      <c r="U210" s="164">
        <f t="shared" si="538"/>
        <v>0</v>
      </c>
      <c r="V210" s="164">
        <f t="shared" si="538"/>
        <v>0</v>
      </c>
      <c r="W210" s="164">
        <f t="shared" si="538"/>
        <v>0</v>
      </c>
      <c r="X210" s="164">
        <f t="shared" si="538"/>
        <v>0</v>
      </c>
      <c r="Y210" s="164">
        <f t="shared" si="538"/>
        <v>0</v>
      </c>
      <c r="Z210" s="164">
        <f t="shared" si="538"/>
        <v>0</v>
      </c>
      <c r="AA210" s="164">
        <f t="shared" si="538"/>
        <v>60024677.878800005</v>
      </c>
      <c r="AB210" s="164">
        <f t="shared" si="538"/>
        <v>120049355.75760001</v>
      </c>
      <c r="AC210" s="164">
        <f t="shared" si="538"/>
        <v>210086372.5758</v>
      </c>
      <c r="AD210" s="164">
        <f t="shared" si="538"/>
        <v>300123389.39399999</v>
      </c>
      <c r="AE210" s="164">
        <f t="shared" si="538"/>
        <v>390160406.21219999</v>
      </c>
      <c r="AF210" s="164">
        <f t="shared" si="538"/>
        <v>480197423.03039998</v>
      </c>
      <c r="AG210" s="164">
        <f t="shared" si="538"/>
        <v>628683454.18799996</v>
      </c>
      <c r="AH210" s="164">
        <f t="shared" si="538"/>
        <v>748732809.94560003</v>
      </c>
      <c r="AI210" s="164">
        <f t="shared" si="538"/>
        <v>868782165.7032001</v>
      </c>
      <c r="AJ210" s="164">
        <f t="shared" si="538"/>
        <v>988831521.46080017</v>
      </c>
      <c r="AK210" s="164">
        <f t="shared" si="538"/>
        <v>1138893216.1578002</v>
      </c>
      <c r="AL210" s="164">
        <f t="shared" si="538"/>
        <v>1288954910.8548002</v>
      </c>
      <c r="AM210" s="164">
        <f t="shared" si="538"/>
        <v>1439016605.5518003</v>
      </c>
      <c r="AN210" s="164">
        <f t="shared" si="538"/>
        <v>1559065961.3094003</v>
      </c>
      <c r="AO210" s="164">
        <f t="shared" si="538"/>
        <v>1679115317.0670004</v>
      </c>
      <c r="AP210" s="164">
        <f t="shared" si="538"/>
        <v>1799164672.8246005</v>
      </c>
      <c r="AQ210" s="164">
        <f t="shared" si="538"/>
        <v>1947650703.9822004</v>
      </c>
      <c r="AR210" s="164">
        <f t="shared" si="538"/>
        <v>2067700059.7398005</v>
      </c>
      <c r="AS210" s="164">
        <f t="shared" si="538"/>
        <v>2187749415.4974003</v>
      </c>
      <c r="AT210" s="164">
        <f t="shared" si="538"/>
        <v>2277786432.3156004</v>
      </c>
      <c r="AU210" s="164">
        <f t="shared" si="538"/>
        <v>2367823449.1338005</v>
      </c>
      <c r="AV210" s="164">
        <f t="shared" si="538"/>
        <v>2442854296.4823003</v>
      </c>
      <c r="AW210" s="164">
        <f t="shared" si="538"/>
        <v>2517885143.8308001</v>
      </c>
      <c r="AX210" s="164">
        <f t="shared" si="538"/>
        <v>2592915991.1792998</v>
      </c>
      <c r="AY210" s="164">
        <f t="shared" si="538"/>
        <v>2667946838.5277996</v>
      </c>
      <c r="AZ210" s="164">
        <f t="shared" si="538"/>
        <v>2727971516.4065995</v>
      </c>
      <c r="BA210" s="164">
        <f t="shared" si="538"/>
        <v>2787996194.2853994</v>
      </c>
      <c r="BB210" s="164">
        <f t="shared" si="538"/>
        <v>2848020872.1641994</v>
      </c>
      <c r="BC210" s="164">
        <f t="shared" si="538"/>
        <v>2878033211.1035995</v>
      </c>
      <c r="BD210" s="164">
        <f t="shared" si="538"/>
        <v>2908045550.0429997</v>
      </c>
      <c r="BE210" s="164">
        <f t="shared" si="538"/>
        <v>2938057888.9823999</v>
      </c>
      <c r="BF210" s="164">
        <f t="shared" si="538"/>
        <v>2968070227.9218001</v>
      </c>
      <c r="BG210" s="164">
        <f t="shared" si="538"/>
        <v>2998082566.8612003</v>
      </c>
      <c r="BH210" s="164">
        <f t="shared" si="538"/>
        <v>3028094905.8006005</v>
      </c>
      <c r="BI210" s="164">
        <f t="shared" si="538"/>
        <v>3058107244.7400007</v>
      </c>
    </row>
    <row r="211" spans="1:63" s="144" customFormat="1" ht="18" customHeight="1" x14ac:dyDescent="0.25">
      <c r="A211" s="381"/>
      <c r="B211" s="382"/>
      <c r="C211" s="385" t="s">
        <v>170</v>
      </c>
      <c r="D211" s="386"/>
      <c r="E211" s="386"/>
      <c r="F211" s="386"/>
      <c r="G211" s="387"/>
      <c r="H211" s="388"/>
      <c r="I211" s="388"/>
      <c r="J211" s="389"/>
      <c r="K211" s="389"/>
      <c r="L211" s="165">
        <f>L209/$H$209</f>
        <v>0</v>
      </c>
      <c r="M211" s="165">
        <f>M209/$H$209</f>
        <v>0</v>
      </c>
      <c r="N211" s="165">
        <f t="shared" ref="N211:BI211" si="539">N209/$H$209</f>
        <v>0</v>
      </c>
      <c r="O211" s="165">
        <f t="shared" si="539"/>
        <v>0</v>
      </c>
      <c r="P211" s="165">
        <f t="shared" si="539"/>
        <v>0</v>
      </c>
      <c r="Q211" s="165">
        <f t="shared" si="539"/>
        <v>0</v>
      </c>
      <c r="R211" s="165">
        <f t="shared" si="539"/>
        <v>0</v>
      </c>
      <c r="S211" s="165">
        <f t="shared" si="539"/>
        <v>0</v>
      </c>
      <c r="T211" s="165">
        <f t="shared" si="539"/>
        <v>0</v>
      </c>
      <c r="U211" s="165">
        <f t="shared" si="539"/>
        <v>0</v>
      </c>
      <c r="V211" s="165">
        <f t="shared" si="539"/>
        <v>0</v>
      </c>
      <c r="W211" s="165">
        <f t="shared" si="539"/>
        <v>0</v>
      </c>
      <c r="X211" s="165">
        <f t="shared" si="539"/>
        <v>0</v>
      </c>
      <c r="Y211" s="165">
        <f t="shared" si="539"/>
        <v>0</v>
      </c>
      <c r="Z211" s="165">
        <f t="shared" si="539"/>
        <v>0</v>
      </c>
      <c r="AA211" s="165">
        <f t="shared" si="539"/>
        <v>1.962804868339511E-2</v>
      </c>
      <c r="AB211" s="165">
        <f t="shared" si="539"/>
        <v>1.962804868339511E-2</v>
      </c>
      <c r="AC211" s="165">
        <f t="shared" si="539"/>
        <v>2.9442073025092656E-2</v>
      </c>
      <c r="AD211" s="165">
        <f t="shared" si="539"/>
        <v>2.9442073025092656E-2</v>
      </c>
      <c r="AE211" s="165">
        <f t="shared" si="539"/>
        <v>2.9442073025092656E-2</v>
      </c>
      <c r="AF211" s="165">
        <f t="shared" si="539"/>
        <v>2.9442073025092656E-2</v>
      </c>
      <c r="AG211" s="165">
        <f t="shared" si="539"/>
        <v>4.8554880281912495E-2</v>
      </c>
      <c r="AH211" s="165">
        <f t="shared" si="539"/>
        <v>3.925609736679022E-2</v>
      </c>
      <c r="AI211" s="165">
        <f t="shared" si="539"/>
        <v>3.925609736679022E-2</v>
      </c>
      <c r="AJ211" s="165">
        <f t="shared" si="539"/>
        <v>3.925609736679022E-2</v>
      </c>
      <c r="AK211" s="165">
        <f t="shared" si="539"/>
        <v>4.907012170848777E-2</v>
      </c>
      <c r="AL211" s="165">
        <f t="shared" si="539"/>
        <v>4.907012170848777E-2</v>
      </c>
      <c r="AM211" s="165">
        <f t="shared" si="539"/>
        <v>4.907012170848777E-2</v>
      </c>
      <c r="AN211" s="165">
        <f t="shared" si="539"/>
        <v>3.925609736679022E-2</v>
      </c>
      <c r="AO211" s="165">
        <f t="shared" si="539"/>
        <v>3.925609736679022E-2</v>
      </c>
      <c r="AP211" s="165">
        <f t="shared" si="539"/>
        <v>3.925609736679022E-2</v>
      </c>
      <c r="AQ211" s="165">
        <f t="shared" si="539"/>
        <v>4.8554880281912495E-2</v>
      </c>
      <c r="AR211" s="165">
        <f t="shared" si="539"/>
        <v>3.925609736679022E-2</v>
      </c>
      <c r="AS211" s="165">
        <f t="shared" si="539"/>
        <v>3.925609736679022E-2</v>
      </c>
      <c r="AT211" s="165">
        <f t="shared" si="539"/>
        <v>2.9442073025092656E-2</v>
      </c>
      <c r="AU211" s="165">
        <f t="shared" si="539"/>
        <v>2.9442073025092656E-2</v>
      </c>
      <c r="AV211" s="165">
        <f t="shared" si="539"/>
        <v>2.4535060854243885E-2</v>
      </c>
      <c r="AW211" s="165">
        <f t="shared" si="539"/>
        <v>2.4535060854243885E-2</v>
      </c>
      <c r="AX211" s="165">
        <f t="shared" si="539"/>
        <v>2.4535060854243885E-2</v>
      </c>
      <c r="AY211" s="165">
        <f t="shared" si="539"/>
        <v>2.4535060854243885E-2</v>
      </c>
      <c r="AZ211" s="165">
        <f t="shared" si="539"/>
        <v>1.962804868339511E-2</v>
      </c>
      <c r="BA211" s="165">
        <f t="shared" si="539"/>
        <v>1.962804868339511E-2</v>
      </c>
      <c r="BB211" s="165">
        <f t="shared" si="539"/>
        <v>1.962804868339511E-2</v>
      </c>
      <c r="BC211" s="165">
        <f t="shared" si="539"/>
        <v>9.814024341697555E-3</v>
      </c>
      <c r="BD211" s="165">
        <f t="shared" si="539"/>
        <v>9.814024341697555E-3</v>
      </c>
      <c r="BE211" s="165">
        <f t="shared" si="539"/>
        <v>9.814024341697555E-3</v>
      </c>
      <c r="BF211" s="165">
        <f t="shared" si="539"/>
        <v>9.814024341697555E-3</v>
      </c>
      <c r="BG211" s="165">
        <f t="shared" si="539"/>
        <v>9.814024341697555E-3</v>
      </c>
      <c r="BH211" s="165">
        <f t="shared" si="539"/>
        <v>9.814024341697555E-3</v>
      </c>
      <c r="BI211" s="165">
        <f t="shared" si="539"/>
        <v>9.814024341697555E-3</v>
      </c>
    </row>
    <row r="212" spans="1:63" s="144" customFormat="1" ht="18" customHeight="1" x14ac:dyDescent="0.25">
      <c r="A212" s="383"/>
      <c r="B212" s="384"/>
      <c r="C212" s="385" t="s">
        <v>171</v>
      </c>
      <c r="D212" s="386"/>
      <c r="E212" s="386"/>
      <c r="F212" s="386"/>
      <c r="G212" s="387"/>
      <c r="H212" s="388"/>
      <c r="I212" s="388"/>
      <c r="J212" s="389"/>
      <c r="K212" s="389"/>
      <c r="L212" s="165">
        <f t="shared" ref="L212" si="540">L211+K212</f>
        <v>0</v>
      </c>
      <c r="M212" s="165">
        <f>M211+L212</f>
        <v>0</v>
      </c>
      <c r="N212" s="165">
        <f t="shared" ref="N212:BI212" si="541">N211+M212</f>
        <v>0</v>
      </c>
      <c r="O212" s="165">
        <f t="shared" si="541"/>
        <v>0</v>
      </c>
      <c r="P212" s="165">
        <f t="shared" si="541"/>
        <v>0</v>
      </c>
      <c r="Q212" s="165">
        <f t="shared" si="541"/>
        <v>0</v>
      </c>
      <c r="R212" s="165">
        <f t="shared" si="541"/>
        <v>0</v>
      </c>
      <c r="S212" s="165">
        <f t="shared" si="541"/>
        <v>0</v>
      </c>
      <c r="T212" s="165">
        <f t="shared" si="541"/>
        <v>0</v>
      </c>
      <c r="U212" s="165">
        <f t="shared" si="541"/>
        <v>0</v>
      </c>
      <c r="V212" s="165">
        <f t="shared" si="541"/>
        <v>0</v>
      </c>
      <c r="W212" s="165">
        <f t="shared" si="541"/>
        <v>0</v>
      </c>
      <c r="X212" s="165">
        <f t="shared" si="541"/>
        <v>0</v>
      </c>
      <c r="Y212" s="165">
        <f t="shared" si="541"/>
        <v>0</v>
      </c>
      <c r="Z212" s="165">
        <f t="shared" si="541"/>
        <v>0</v>
      </c>
      <c r="AA212" s="165">
        <f t="shared" si="541"/>
        <v>1.962804868339511E-2</v>
      </c>
      <c r="AB212" s="165">
        <f t="shared" si="541"/>
        <v>3.925609736679022E-2</v>
      </c>
      <c r="AC212" s="165">
        <f t="shared" si="541"/>
        <v>6.8698170391882876E-2</v>
      </c>
      <c r="AD212" s="165">
        <f t="shared" si="541"/>
        <v>9.8140243416975526E-2</v>
      </c>
      <c r="AE212" s="165">
        <f t="shared" si="541"/>
        <v>0.12758231644206819</v>
      </c>
      <c r="AF212" s="165">
        <f t="shared" si="541"/>
        <v>0.15702438946716085</v>
      </c>
      <c r="AG212" s="165">
        <f t="shared" si="541"/>
        <v>0.20557926974907334</v>
      </c>
      <c r="AH212" s="165">
        <f t="shared" si="541"/>
        <v>0.24483536711586357</v>
      </c>
      <c r="AI212" s="165">
        <f t="shared" si="541"/>
        <v>0.28409146448265377</v>
      </c>
      <c r="AJ212" s="165">
        <f t="shared" si="541"/>
        <v>0.32334756184944397</v>
      </c>
      <c r="AK212" s="165">
        <f t="shared" si="541"/>
        <v>0.37241768355793176</v>
      </c>
      <c r="AL212" s="165">
        <f t="shared" si="541"/>
        <v>0.42148780526641955</v>
      </c>
      <c r="AM212" s="165">
        <f t="shared" si="541"/>
        <v>0.47055792697490734</v>
      </c>
      <c r="AN212" s="165">
        <f t="shared" si="541"/>
        <v>0.50981402434169754</v>
      </c>
      <c r="AO212" s="165">
        <f t="shared" si="541"/>
        <v>0.54907012170848779</v>
      </c>
      <c r="AP212" s="165">
        <f t="shared" si="541"/>
        <v>0.58832621907527805</v>
      </c>
      <c r="AQ212" s="165">
        <f t="shared" si="541"/>
        <v>0.63688109935719051</v>
      </c>
      <c r="AR212" s="165">
        <f t="shared" si="541"/>
        <v>0.67613719672398076</v>
      </c>
      <c r="AS212" s="165">
        <f t="shared" si="541"/>
        <v>0.71539329409077101</v>
      </c>
      <c r="AT212" s="165">
        <f t="shared" si="541"/>
        <v>0.74483536711586362</v>
      </c>
      <c r="AU212" s="165">
        <f t="shared" si="541"/>
        <v>0.77427744014095623</v>
      </c>
      <c r="AV212" s="165">
        <f t="shared" si="541"/>
        <v>0.79881250099520007</v>
      </c>
      <c r="AW212" s="165">
        <f t="shared" si="541"/>
        <v>0.82334756184944391</v>
      </c>
      <c r="AX212" s="165">
        <f t="shared" si="541"/>
        <v>0.84788262270368775</v>
      </c>
      <c r="AY212" s="165">
        <f t="shared" si="541"/>
        <v>0.87241768355793159</v>
      </c>
      <c r="AZ212" s="165">
        <f t="shared" si="541"/>
        <v>0.89204573224132666</v>
      </c>
      <c r="BA212" s="165">
        <f t="shared" si="541"/>
        <v>0.91167378092472173</v>
      </c>
      <c r="BB212" s="165">
        <f t="shared" si="541"/>
        <v>0.9313018296081168</v>
      </c>
      <c r="BC212" s="165">
        <f t="shared" si="541"/>
        <v>0.94111585394981434</v>
      </c>
      <c r="BD212" s="165">
        <f t="shared" si="541"/>
        <v>0.95092987829151188</v>
      </c>
      <c r="BE212" s="165">
        <f t="shared" si="541"/>
        <v>0.96074390263320941</v>
      </c>
      <c r="BF212" s="165">
        <f t="shared" si="541"/>
        <v>0.97055792697490695</v>
      </c>
      <c r="BG212" s="165">
        <f t="shared" si="541"/>
        <v>0.98037195131660448</v>
      </c>
      <c r="BH212" s="165">
        <f t="shared" si="541"/>
        <v>0.99018597565830202</v>
      </c>
      <c r="BI212" s="165">
        <f t="shared" si="541"/>
        <v>0.99999999999999956</v>
      </c>
    </row>
    <row r="213" spans="1:63" s="140" customFormat="1" ht="10.199999999999999" x14ac:dyDescent="0.25">
      <c r="I213" s="145"/>
      <c r="J213" s="145"/>
      <c r="K213" s="145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  <c r="AC213" s="146"/>
      <c r="AD213" s="146"/>
      <c r="AE213" s="146"/>
      <c r="AF213" s="146"/>
      <c r="AG213" s="146"/>
      <c r="AH213" s="146"/>
      <c r="AI213" s="146"/>
      <c r="AJ213" s="146"/>
      <c r="AK213" s="146"/>
      <c r="AL213" s="146"/>
      <c r="AM213" s="146"/>
      <c r="AN213" s="146"/>
      <c r="AO213" s="146"/>
      <c r="AP213" s="146"/>
      <c r="AQ213" s="146"/>
      <c r="AR213" s="146"/>
      <c r="AS213" s="146"/>
      <c r="AT213" s="146"/>
      <c r="AU213" s="146"/>
      <c r="AV213" s="146"/>
      <c r="AW213" s="146"/>
      <c r="AX213" s="146"/>
      <c r="AY213" s="146"/>
      <c r="AZ213" s="146"/>
      <c r="BA213" s="146"/>
      <c r="BB213" s="146"/>
      <c r="BC213" s="146"/>
      <c r="BD213" s="146"/>
      <c r="BE213" s="146"/>
      <c r="BF213" s="146"/>
      <c r="BG213" s="146"/>
      <c r="BH213" s="146"/>
      <c r="BI213" s="146"/>
    </row>
    <row r="214" spans="1:63" s="144" customFormat="1" ht="18" customHeight="1" x14ac:dyDescent="0.25">
      <c r="A214" s="368" t="s">
        <v>224</v>
      </c>
      <c r="B214" s="369"/>
      <c r="C214" s="374" t="s">
        <v>168</v>
      </c>
      <c r="D214" s="375"/>
      <c r="E214" s="375"/>
      <c r="F214" s="375"/>
      <c r="G214" s="376"/>
      <c r="H214" s="377"/>
      <c r="I214" s="377">
        <f>I187</f>
        <v>1851098202.3030367</v>
      </c>
      <c r="J214" s="378"/>
      <c r="K214" s="378">
        <f>K187</f>
        <v>1</v>
      </c>
      <c r="L214" s="200">
        <f t="shared" ref="L214:M214" si="542">SUMPRODUCT($I188:$I207,L188:L207)</f>
        <v>0</v>
      </c>
      <c r="M214" s="200">
        <f t="shared" si="542"/>
        <v>0</v>
      </c>
      <c r="N214" s="200">
        <f t="shared" ref="N214:BI214" si="543">SUMPRODUCT($I188:$I207,N188:N207)</f>
        <v>0</v>
      </c>
      <c r="O214" s="200">
        <f t="shared" si="543"/>
        <v>0</v>
      </c>
      <c r="P214" s="200">
        <f t="shared" si="543"/>
        <v>0</v>
      </c>
      <c r="Q214" s="200">
        <f t="shared" si="543"/>
        <v>0</v>
      </c>
      <c r="R214" s="200">
        <f t="shared" si="543"/>
        <v>0</v>
      </c>
      <c r="S214" s="200">
        <f t="shared" si="543"/>
        <v>0</v>
      </c>
      <c r="T214" s="200">
        <f t="shared" si="543"/>
        <v>0</v>
      </c>
      <c r="U214" s="200">
        <f t="shared" si="543"/>
        <v>0</v>
      </c>
      <c r="V214" s="200">
        <f t="shared" si="543"/>
        <v>0</v>
      </c>
      <c r="W214" s="200">
        <f t="shared" si="543"/>
        <v>0</v>
      </c>
      <c r="X214" s="200">
        <f t="shared" si="543"/>
        <v>0</v>
      </c>
      <c r="Y214" s="200">
        <f t="shared" si="543"/>
        <v>5861075.120000001</v>
      </c>
      <c r="Z214" s="200">
        <f t="shared" si="543"/>
        <v>9185140.6799999997</v>
      </c>
      <c r="AA214" s="200">
        <f t="shared" si="543"/>
        <v>35943065.14415323</v>
      </c>
      <c r="AB214" s="200">
        <f t="shared" si="543"/>
        <v>35943065.14415323</v>
      </c>
      <c r="AC214" s="200">
        <f t="shared" si="543"/>
        <v>53914597.716229841</v>
      </c>
      <c r="AD214" s="200">
        <f t="shared" si="543"/>
        <v>53914597.716229841</v>
      </c>
      <c r="AE214" s="200">
        <f t="shared" si="543"/>
        <v>59775672.836229846</v>
      </c>
      <c r="AF214" s="200">
        <f t="shared" si="543"/>
        <v>63099738.396229841</v>
      </c>
      <c r="AG214" s="200">
        <f t="shared" si="543"/>
        <v>83812387.035994098</v>
      </c>
      <c r="AH214" s="200">
        <f t="shared" si="543"/>
        <v>71886130.28830646</v>
      </c>
      <c r="AI214" s="200">
        <f t="shared" si="543"/>
        <v>71886130.28830646</v>
      </c>
      <c r="AJ214" s="200">
        <f t="shared" si="543"/>
        <v>71886130.28830646</v>
      </c>
      <c r="AK214" s="200">
        <f t="shared" si="543"/>
        <v>89857662.860383093</v>
      </c>
      <c r="AL214" s="200">
        <f t="shared" si="543"/>
        <v>89857662.860383093</v>
      </c>
      <c r="AM214" s="200">
        <f t="shared" si="543"/>
        <v>89857662.860383093</v>
      </c>
      <c r="AN214" s="200">
        <f t="shared" si="543"/>
        <v>71886130.28830646</v>
      </c>
      <c r="AO214" s="200">
        <f t="shared" si="543"/>
        <v>71886130.28830646</v>
      </c>
      <c r="AP214" s="200">
        <f t="shared" si="543"/>
        <v>71886130.28830646</v>
      </c>
      <c r="AQ214" s="200">
        <f t="shared" si="543"/>
        <v>83812387.035994098</v>
      </c>
      <c r="AR214" s="200">
        <f t="shared" si="543"/>
        <v>71886130.28830646</v>
      </c>
      <c r="AS214" s="200">
        <f t="shared" si="543"/>
        <v>71886130.28830646</v>
      </c>
      <c r="AT214" s="200">
        <f t="shared" si="543"/>
        <v>53914597.716229841</v>
      </c>
      <c r="AU214" s="200">
        <f t="shared" si="543"/>
        <v>53914597.716229841</v>
      </c>
      <c r="AV214" s="200">
        <f t="shared" si="543"/>
        <v>44928831.430191547</v>
      </c>
      <c r="AW214" s="200">
        <f t="shared" si="543"/>
        <v>44928831.430191547</v>
      </c>
      <c r="AX214" s="200">
        <f t="shared" si="543"/>
        <v>44928831.430191547</v>
      </c>
      <c r="AY214" s="200">
        <f t="shared" si="543"/>
        <v>44928831.430191547</v>
      </c>
      <c r="AZ214" s="200">
        <f t="shared" si="543"/>
        <v>35943065.14415323</v>
      </c>
      <c r="BA214" s="200">
        <f t="shared" si="543"/>
        <v>35943065.14415323</v>
      </c>
      <c r="BB214" s="200">
        <f t="shared" si="543"/>
        <v>35943065.14415323</v>
      </c>
      <c r="BC214" s="200">
        <f t="shared" si="543"/>
        <v>17971532.572076615</v>
      </c>
      <c r="BD214" s="200">
        <f t="shared" si="543"/>
        <v>17971532.572076615</v>
      </c>
      <c r="BE214" s="200">
        <f t="shared" si="543"/>
        <v>17971532.572076615</v>
      </c>
      <c r="BF214" s="200">
        <f t="shared" si="543"/>
        <v>17971532.572076615</v>
      </c>
      <c r="BG214" s="200">
        <f t="shared" si="543"/>
        <v>17971532.572076615</v>
      </c>
      <c r="BH214" s="200">
        <f t="shared" si="543"/>
        <v>17971532.572076615</v>
      </c>
      <c r="BI214" s="200">
        <f t="shared" si="543"/>
        <v>17971532.572076615</v>
      </c>
    </row>
    <row r="215" spans="1:63" s="144" customFormat="1" ht="18" customHeight="1" x14ac:dyDescent="0.25">
      <c r="A215" s="370"/>
      <c r="B215" s="371"/>
      <c r="C215" s="374" t="s">
        <v>169</v>
      </c>
      <c r="D215" s="375"/>
      <c r="E215" s="375"/>
      <c r="F215" s="375"/>
      <c r="G215" s="376"/>
      <c r="H215" s="377"/>
      <c r="I215" s="377"/>
      <c r="J215" s="378"/>
      <c r="K215" s="378"/>
      <c r="L215" s="201">
        <f>L214</f>
        <v>0</v>
      </c>
      <c r="M215" s="201">
        <f>M214+L215</f>
        <v>0</v>
      </c>
      <c r="N215" s="201">
        <f t="shared" ref="N215:BI215" si="544">N214+M215</f>
        <v>0</v>
      </c>
      <c r="O215" s="201">
        <f t="shared" si="544"/>
        <v>0</v>
      </c>
      <c r="P215" s="201">
        <f t="shared" si="544"/>
        <v>0</v>
      </c>
      <c r="Q215" s="201">
        <f t="shared" si="544"/>
        <v>0</v>
      </c>
      <c r="R215" s="201">
        <f t="shared" si="544"/>
        <v>0</v>
      </c>
      <c r="S215" s="201">
        <f t="shared" si="544"/>
        <v>0</v>
      </c>
      <c r="T215" s="201">
        <f t="shared" si="544"/>
        <v>0</v>
      </c>
      <c r="U215" s="201">
        <f t="shared" si="544"/>
        <v>0</v>
      </c>
      <c r="V215" s="201">
        <f t="shared" si="544"/>
        <v>0</v>
      </c>
      <c r="W215" s="201">
        <f t="shared" si="544"/>
        <v>0</v>
      </c>
      <c r="X215" s="201">
        <f t="shared" si="544"/>
        <v>0</v>
      </c>
      <c r="Y215" s="201">
        <f t="shared" si="544"/>
        <v>5861075.120000001</v>
      </c>
      <c r="Z215" s="201">
        <f t="shared" si="544"/>
        <v>15046215.800000001</v>
      </c>
      <c r="AA215" s="201">
        <f t="shared" si="544"/>
        <v>50989280.944153234</v>
      </c>
      <c r="AB215" s="201">
        <f t="shared" si="544"/>
        <v>86932346.088306457</v>
      </c>
      <c r="AC215" s="201">
        <f t="shared" si="544"/>
        <v>140846943.80453628</v>
      </c>
      <c r="AD215" s="201">
        <f t="shared" si="544"/>
        <v>194761541.52076614</v>
      </c>
      <c r="AE215" s="201">
        <f t="shared" si="544"/>
        <v>254537214.356996</v>
      </c>
      <c r="AF215" s="201">
        <f t="shared" si="544"/>
        <v>317636952.75322586</v>
      </c>
      <c r="AG215" s="201">
        <f t="shared" si="544"/>
        <v>401449339.78921998</v>
      </c>
      <c r="AH215" s="201">
        <f t="shared" si="544"/>
        <v>473335470.07752645</v>
      </c>
      <c r="AI215" s="201">
        <f t="shared" si="544"/>
        <v>545221600.36583292</v>
      </c>
      <c r="AJ215" s="201">
        <f t="shared" si="544"/>
        <v>617107730.6541394</v>
      </c>
      <c r="AK215" s="201">
        <f t="shared" si="544"/>
        <v>706965393.51452255</v>
      </c>
      <c r="AL215" s="201">
        <f t="shared" si="544"/>
        <v>796823056.37490559</v>
      </c>
      <c r="AM215" s="201">
        <f t="shared" si="544"/>
        <v>886680719.23528862</v>
      </c>
      <c r="AN215" s="201">
        <f t="shared" si="544"/>
        <v>958566849.52359509</v>
      </c>
      <c r="AO215" s="201">
        <f t="shared" si="544"/>
        <v>1030452979.8119016</v>
      </c>
      <c r="AP215" s="201">
        <f t="shared" si="544"/>
        <v>1102339110.100208</v>
      </c>
      <c r="AQ215" s="201">
        <f t="shared" si="544"/>
        <v>1186151497.1362021</v>
      </c>
      <c r="AR215" s="201">
        <f t="shared" si="544"/>
        <v>1258037627.4245086</v>
      </c>
      <c r="AS215" s="201">
        <f t="shared" si="544"/>
        <v>1329923757.712815</v>
      </c>
      <c r="AT215" s="201">
        <f t="shared" si="544"/>
        <v>1383838355.429045</v>
      </c>
      <c r="AU215" s="201">
        <f t="shared" si="544"/>
        <v>1437752953.1452749</v>
      </c>
      <c r="AV215" s="201">
        <f t="shared" si="544"/>
        <v>1482681784.5754664</v>
      </c>
      <c r="AW215" s="201">
        <f t="shared" si="544"/>
        <v>1527610616.0056579</v>
      </c>
      <c r="AX215" s="201">
        <f t="shared" si="544"/>
        <v>1572539447.4358494</v>
      </c>
      <c r="AY215" s="201">
        <f t="shared" si="544"/>
        <v>1617468278.8660409</v>
      </c>
      <c r="AZ215" s="201">
        <f t="shared" si="544"/>
        <v>1653411344.0101941</v>
      </c>
      <c r="BA215" s="201">
        <f t="shared" si="544"/>
        <v>1689354409.1543472</v>
      </c>
      <c r="BB215" s="201">
        <f t="shared" si="544"/>
        <v>1725297474.2985003</v>
      </c>
      <c r="BC215" s="201">
        <f t="shared" si="544"/>
        <v>1743269006.8705769</v>
      </c>
      <c r="BD215" s="201">
        <f t="shared" si="544"/>
        <v>1761240539.4426534</v>
      </c>
      <c r="BE215" s="201">
        <f t="shared" si="544"/>
        <v>1779212072.01473</v>
      </c>
      <c r="BF215" s="201">
        <f t="shared" si="544"/>
        <v>1797183604.5868065</v>
      </c>
      <c r="BG215" s="201">
        <f t="shared" si="544"/>
        <v>1815155137.1588831</v>
      </c>
      <c r="BH215" s="201">
        <f t="shared" si="544"/>
        <v>1833126669.7309597</v>
      </c>
      <c r="BI215" s="201">
        <f t="shared" si="544"/>
        <v>1851098202.3030362</v>
      </c>
    </row>
    <row r="216" spans="1:63" s="144" customFormat="1" ht="18" customHeight="1" x14ac:dyDescent="0.25">
      <c r="A216" s="370"/>
      <c r="B216" s="371"/>
      <c r="C216" s="374" t="s">
        <v>170</v>
      </c>
      <c r="D216" s="375"/>
      <c r="E216" s="375"/>
      <c r="F216" s="375"/>
      <c r="G216" s="376"/>
      <c r="H216" s="377"/>
      <c r="I216" s="377"/>
      <c r="J216" s="378"/>
      <c r="K216" s="378"/>
      <c r="L216" s="202">
        <f>L214/$I$214</f>
        <v>0</v>
      </c>
      <c r="M216" s="202">
        <f>M214/$I$214</f>
        <v>0</v>
      </c>
      <c r="N216" s="202">
        <f t="shared" ref="N216:BI216" si="545">N214/$I$214</f>
        <v>0</v>
      </c>
      <c r="O216" s="202">
        <f t="shared" si="545"/>
        <v>0</v>
      </c>
      <c r="P216" s="202">
        <f t="shared" si="545"/>
        <v>0</v>
      </c>
      <c r="Q216" s="202">
        <f t="shared" si="545"/>
        <v>0</v>
      </c>
      <c r="R216" s="202">
        <f t="shared" si="545"/>
        <v>0</v>
      </c>
      <c r="S216" s="202">
        <f t="shared" si="545"/>
        <v>0</v>
      </c>
      <c r="T216" s="202">
        <f t="shared" si="545"/>
        <v>0</v>
      </c>
      <c r="U216" s="202">
        <f t="shared" si="545"/>
        <v>0</v>
      </c>
      <c r="V216" s="202">
        <f t="shared" si="545"/>
        <v>0</v>
      </c>
      <c r="W216" s="202">
        <f t="shared" si="545"/>
        <v>0</v>
      </c>
      <c r="X216" s="202">
        <f t="shared" si="545"/>
        <v>0</v>
      </c>
      <c r="Y216" s="202">
        <f t="shared" si="545"/>
        <v>3.1662691437482717E-3</v>
      </c>
      <c r="Z216" s="202">
        <f t="shared" si="545"/>
        <v>4.9619953542023552E-3</v>
      </c>
      <c r="AA216" s="202">
        <f t="shared" si="545"/>
        <v>1.9417157393073366E-2</v>
      </c>
      <c r="AB216" s="202">
        <f t="shared" si="545"/>
        <v>1.9417157393073366E-2</v>
      </c>
      <c r="AC216" s="202">
        <f t="shared" si="545"/>
        <v>2.9125736089610051E-2</v>
      </c>
      <c r="AD216" s="202">
        <f t="shared" si="545"/>
        <v>2.9125736089610051E-2</v>
      </c>
      <c r="AE216" s="202">
        <f t="shared" si="545"/>
        <v>3.2292005233358324E-2</v>
      </c>
      <c r="AF216" s="202">
        <f t="shared" si="545"/>
        <v>3.4087731443812407E-2</v>
      </c>
      <c r="AG216" s="202">
        <f t="shared" si="545"/>
        <v>4.5277115461361928E-2</v>
      </c>
      <c r="AH216" s="202">
        <f t="shared" si="545"/>
        <v>3.8834314786146733E-2</v>
      </c>
      <c r="AI216" s="202">
        <f t="shared" si="545"/>
        <v>3.8834314786146733E-2</v>
      </c>
      <c r="AJ216" s="202">
        <f t="shared" si="545"/>
        <v>3.8834314786146733E-2</v>
      </c>
      <c r="AK216" s="202">
        <f t="shared" si="545"/>
        <v>4.8542893482683432E-2</v>
      </c>
      <c r="AL216" s="202">
        <f t="shared" si="545"/>
        <v>4.8542893482683432E-2</v>
      </c>
      <c r="AM216" s="202">
        <f t="shared" si="545"/>
        <v>4.8542893482683432E-2</v>
      </c>
      <c r="AN216" s="202">
        <f t="shared" si="545"/>
        <v>3.8834314786146733E-2</v>
      </c>
      <c r="AO216" s="202">
        <f t="shared" si="545"/>
        <v>3.8834314786146733E-2</v>
      </c>
      <c r="AP216" s="202">
        <f t="shared" si="545"/>
        <v>3.8834314786146733E-2</v>
      </c>
      <c r="AQ216" s="202">
        <f t="shared" si="545"/>
        <v>4.5277115461361928E-2</v>
      </c>
      <c r="AR216" s="202">
        <f t="shared" si="545"/>
        <v>3.8834314786146733E-2</v>
      </c>
      <c r="AS216" s="202">
        <f t="shared" si="545"/>
        <v>3.8834314786146733E-2</v>
      </c>
      <c r="AT216" s="202">
        <f t="shared" si="545"/>
        <v>2.9125736089610051E-2</v>
      </c>
      <c r="AU216" s="202">
        <f t="shared" si="545"/>
        <v>2.9125736089610051E-2</v>
      </c>
      <c r="AV216" s="202">
        <f t="shared" si="545"/>
        <v>2.4271446741341716E-2</v>
      </c>
      <c r="AW216" s="202">
        <f t="shared" si="545"/>
        <v>2.4271446741341716E-2</v>
      </c>
      <c r="AX216" s="202">
        <f t="shared" si="545"/>
        <v>2.4271446741341716E-2</v>
      </c>
      <c r="AY216" s="202">
        <f t="shared" si="545"/>
        <v>2.4271446741341716E-2</v>
      </c>
      <c r="AZ216" s="202">
        <f t="shared" si="545"/>
        <v>1.9417157393073366E-2</v>
      </c>
      <c r="BA216" s="202">
        <f t="shared" si="545"/>
        <v>1.9417157393073366E-2</v>
      </c>
      <c r="BB216" s="202">
        <f t="shared" si="545"/>
        <v>1.9417157393073366E-2</v>
      </c>
      <c r="BC216" s="202">
        <f t="shared" si="545"/>
        <v>9.7085786965366832E-3</v>
      </c>
      <c r="BD216" s="202">
        <f t="shared" si="545"/>
        <v>9.7085786965366832E-3</v>
      </c>
      <c r="BE216" s="202">
        <f t="shared" si="545"/>
        <v>9.7085786965366832E-3</v>
      </c>
      <c r="BF216" s="202">
        <f t="shared" si="545"/>
        <v>9.7085786965366832E-3</v>
      </c>
      <c r="BG216" s="202">
        <f t="shared" si="545"/>
        <v>9.7085786965366832E-3</v>
      </c>
      <c r="BH216" s="202">
        <f t="shared" si="545"/>
        <v>9.7085786965366832E-3</v>
      </c>
      <c r="BI216" s="202">
        <f t="shared" si="545"/>
        <v>9.7085786965366832E-3</v>
      </c>
    </row>
    <row r="217" spans="1:63" s="144" customFormat="1" ht="18" customHeight="1" x14ac:dyDescent="0.25">
      <c r="A217" s="372"/>
      <c r="B217" s="373"/>
      <c r="C217" s="374" t="s">
        <v>171</v>
      </c>
      <c r="D217" s="375"/>
      <c r="E217" s="375"/>
      <c r="F217" s="375"/>
      <c r="G217" s="376"/>
      <c r="H217" s="377"/>
      <c r="I217" s="377"/>
      <c r="J217" s="378"/>
      <c r="K217" s="378"/>
      <c r="L217" s="202">
        <f>L216</f>
        <v>0</v>
      </c>
      <c r="M217" s="202">
        <f t="shared" ref="M217" si="546">M216+L217</f>
        <v>0</v>
      </c>
      <c r="N217" s="202">
        <f t="shared" ref="N217" si="547">N216+M217</f>
        <v>0</v>
      </c>
      <c r="O217" s="202">
        <f t="shared" ref="O217" si="548">O216+N217</f>
        <v>0</v>
      </c>
      <c r="P217" s="202">
        <f t="shared" ref="P217" si="549">P216+O217</f>
        <v>0</v>
      </c>
      <c r="Q217" s="202">
        <f t="shared" ref="Q217" si="550">Q216+P217</f>
        <v>0</v>
      </c>
      <c r="R217" s="202">
        <f t="shared" ref="R217" si="551">R216+Q217</f>
        <v>0</v>
      </c>
      <c r="S217" s="202">
        <f t="shared" ref="S217" si="552">S216+R217</f>
        <v>0</v>
      </c>
      <c r="T217" s="202">
        <f t="shared" ref="T217" si="553">T216+S217</f>
        <v>0</v>
      </c>
      <c r="U217" s="202">
        <f t="shared" ref="U217" si="554">U216+T217</f>
        <v>0</v>
      </c>
      <c r="V217" s="202">
        <f t="shared" ref="V217" si="555">V216+U217</f>
        <v>0</v>
      </c>
      <c r="W217" s="202">
        <f t="shared" ref="W217" si="556">W216+V217</f>
        <v>0</v>
      </c>
      <c r="X217" s="202">
        <f t="shared" ref="X217" si="557">X216+W217</f>
        <v>0</v>
      </c>
      <c r="Y217" s="202">
        <f t="shared" ref="Y217" si="558">Y216+X217</f>
        <v>3.1662691437482717E-3</v>
      </c>
      <c r="Z217" s="202">
        <f t="shared" ref="Z217" si="559">Z216+Y217</f>
        <v>8.1282644979506265E-3</v>
      </c>
      <c r="AA217" s="202">
        <f t="shared" ref="AA217" si="560">AA216+Z217</f>
        <v>2.7545421891023991E-2</v>
      </c>
      <c r="AB217" s="202">
        <f t="shared" ref="AB217" si="561">AB216+AA217</f>
        <v>4.6962579284097361E-2</v>
      </c>
      <c r="AC217" s="202">
        <f t="shared" ref="AC217" si="562">AC216+AB217</f>
        <v>7.6088315373707416E-2</v>
      </c>
      <c r="AD217" s="202">
        <f t="shared" ref="AD217" si="563">AD216+AC217</f>
        <v>0.10521405146331747</v>
      </c>
      <c r="AE217" s="202">
        <f t="shared" ref="AE217" si="564">AE216+AD217</f>
        <v>0.13750605669667579</v>
      </c>
      <c r="AF217" s="202">
        <f t="shared" ref="AF217" si="565">AF216+AE217</f>
        <v>0.1715937881404882</v>
      </c>
      <c r="AG217" s="202">
        <f t="shared" ref="AG217" si="566">AG216+AF217</f>
        <v>0.21687090360185013</v>
      </c>
      <c r="AH217" s="202">
        <f t="shared" ref="AH217" si="567">AH216+AG217</f>
        <v>0.25570521838799687</v>
      </c>
      <c r="AI217" s="202">
        <f t="shared" ref="AI217" si="568">AI216+AH217</f>
        <v>0.29453953317414361</v>
      </c>
      <c r="AJ217" s="202">
        <f t="shared" ref="AJ217" si="569">AJ216+AI217</f>
        <v>0.33337384796029035</v>
      </c>
      <c r="AK217" s="202">
        <f t="shared" ref="AK217" si="570">AK216+AJ217</f>
        <v>0.38191674144297377</v>
      </c>
      <c r="AL217" s="202">
        <f t="shared" ref="AL217" si="571">AL216+AK217</f>
        <v>0.4304596349256572</v>
      </c>
      <c r="AM217" s="202">
        <f t="shared" ref="AM217" si="572">AM216+AL217</f>
        <v>0.47900252840834062</v>
      </c>
      <c r="AN217" s="202">
        <f t="shared" ref="AN217" si="573">AN216+AM217</f>
        <v>0.51783684319448731</v>
      </c>
      <c r="AO217" s="202">
        <f t="shared" ref="AO217" si="574">AO216+AN217</f>
        <v>0.55667115798063405</v>
      </c>
      <c r="AP217" s="202">
        <f t="shared" ref="AP217" si="575">AP216+AO217</f>
        <v>0.59550547276678079</v>
      </c>
      <c r="AQ217" s="202">
        <f t="shared" ref="AQ217" si="576">AQ216+AP217</f>
        <v>0.64078258822814271</v>
      </c>
      <c r="AR217" s="202">
        <f t="shared" ref="AR217" si="577">AR216+AQ217</f>
        <v>0.67961690301428945</v>
      </c>
      <c r="AS217" s="202">
        <f t="shared" ref="AS217" si="578">AS216+AR217</f>
        <v>0.71845121780043619</v>
      </c>
      <c r="AT217" s="202">
        <f t="shared" ref="AT217" si="579">AT216+AS217</f>
        <v>0.74757695389004619</v>
      </c>
      <c r="AU217" s="202">
        <f t="shared" ref="AU217" si="580">AU216+AT217</f>
        <v>0.77670268997965619</v>
      </c>
      <c r="AV217" s="202">
        <f t="shared" ref="AV217" si="581">AV216+AU217</f>
        <v>0.80097413672099793</v>
      </c>
      <c r="AW217" s="202">
        <f t="shared" ref="AW217" si="582">AW216+AV217</f>
        <v>0.82524558346233967</v>
      </c>
      <c r="AX217" s="202">
        <f t="shared" ref="AX217" si="583">AX216+AW217</f>
        <v>0.84951703020368141</v>
      </c>
      <c r="AY217" s="202">
        <f t="shared" ref="AY217" si="584">AY216+AX217</f>
        <v>0.87378847694502315</v>
      </c>
      <c r="AZ217" s="202">
        <f t="shared" ref="AZ217" si="585">AZ216+AY217</f>
        <v>0.89320563433809652</v>
      </c>
      <c r="BA217" s="202">
        <f t="shared" ref="BA217" si="586">BA216+AZ217</f>
        <v>0.91262279173116989</v>
      </c>
      <c r="BB217" s="202">
        <f t="shared" ref="BB217" si="587">BB216+BA217</f>
        <v>0.93203994912424326</v>
      </c>
      <c r="BC217" s="202">
        <f t="shared" ref="BC217" si="588">BC216+BB217</f>
        <v>0.94174852782077989</v>
      </c>
      <c r="BD217" s="202">
        <f t="shared" ref="BD217" si="589">BD216+BC217</f>
        <v>0.95145710651731652</v>
      </c>
      <c r="BE217" s="202">
        <f t="shared" ref="BE217" si="590">BE216+BD217</f>
        <v>0.96116568521385315</v>
      </c>
      <c r="BF217" s="202">
        <f t="shared" ref="BF217" si="591">BF216+BE217</f>
        <v>0.97087426391038978</v>
      </c>
      <c r="BG217" s="202">
        <f t="shared" ref="BG217" si="592">BG216+BF217</f>
        <v>0.98058284260692641</v>
      </c>
      <c r="BH217" s="202">
        <f t="shared" ref="BH217" si="593">BH216+BG217</f>
        <v>0.99029142130346304</v>
      </c>
      <c r="BI217" s="202">
        <f t="shared" ref="BI217" si="594">BI216+BH217</f>
        <v>0.99999999999999967</v>
      </c>
    </row>
    <row r="218" spans="1:63" s="140" customFormat="1" ht="10.199999999999999" x14ac:dyDescent="0.25">
      <c r="I218" s="145"/>
      <c r="J218" s="145"/>
      <c r="K218" s="145"/>
      <c r="L218" s="146"/>
      <c r="M218" s="146"/>
      <c r="N218" s="146"/>
      <c r="O218" s="146"/>
      <c r="P218" s="146"/>
      <c r="Q218" s="146"/>
      <c r="R218" s="146"/>
      <c r="S218" s="146"/>
      <c r="T218" s="139"/>
      <c r="U218" s="139"/>
      <c r="V218" s="139"/>
      <c r="W218" s="139"/>
      <c r="X218" s="139"/>
      <c r="Y218" s="139"/>
      <c r="Z218" s="139"/>
      <c r="AA218" s="139"/>
      <c r="AB218" s="139"/>
      <c r="AC218" s="139"/>
      <c r="AD218" s="139"/>
      <c r="AE218" s="139"/>
      <c r="AF218" s="139"/>
      <c r="AG218" s="139"/>
      <c r="AH218" s="139"/>
      <c r="AI218" s="139"/>
      <c r="AJ218" s="139"/>
      <c r="AK218" s="139"/>
      <c r="AL218" s="139"/>
      <c r="AM218" s="139"/>
      <c r="AN218" s="139"/>
      <c r="AO218" s="139"/>
      <c r="AP218" s="139"/>
      <c r="AQ218" s="139"/>
      <c r="AR218" s="139"/>
      <c r="AS218" s="139"/>
      <c r="AT218" s="139"/>
      <c r="AU218" s="139"/>
      <c r="AV218" s="139"/>
      <c r="AW218" s="139"/>
      <c r="AX218" s="139"/>
      <c r="AY218" s="139"/>
      <c r="AZ218" s="139"/>
      <c r="BA218" s="139"/>
      <c r="BB218" s="139"/>
      <c r="BC218" s="139"/>
      <c r="BD218" s="139"/>
      <c r="BE218" s="139"/>
      <c r="BF218" s="139"/>
      <c r="BG218" s="139"/>
      <c r="BH218" s="139"/>
      <c r="BI218" s="139"/>
    </row>
    <row r="219" spans="1:63" s="140" customFormat="1" ht="10.199999999999999" x14ac:dyDescent="0.25">
      <c r="I219" s="145"/>
      <c r="J219" s="145"/>
      <c r="K219" s="145"/>
      <c r="L219" s="146"/>
      <c r="M219" s="146"/>
      <c r="N219" s="146"/>
      <c r="O219" s="146"/>
      <c r="P219" s="146"/>
      <c r="Q219" s="146"/>
      <c r="R219" s="146"/>
      <c r="S219" s="146"/>
      <c r="T219" s="139"/>
      <c r="U219" s="139"/>
      <c r="V219" s="139"/>
      <c r="W219" s="139"/>
      <c r="X219" s="139"/>
      <c r="Y219" s="139"/>
      <c r="Z219" s="139"/>
      <c r="AA219" s="139"/>
      <c r="AB219" s="139"/>
      <c r="AC219" s="139"/>
      <c r="AD219" s="139"/>
      <c r="AE219" s="139"/>
      <c r="AF219" s="139"/>
      <c r="AG219" s="139"/>
      <c r="AH219" s="139"/>
      <c r="AI219" s="139"/>
      <c r="AJ219" s="139"/>
      <c r="AK219" s="139"/>
      <c r="AL219" s="139"/>
      <c r="AM219" s="139"/>
      <c r="AN219" s="139"/>
      <c r="AO219" s="139"/>
      <c r="AP219" s="139"/>
      <c r="AQ219" s="139"/>
      <c r="AR219" s="139"/>
      <c r="AS219" s="139"/>
      <c r="AT219" s="139"/>
      <c r="AU219" s="139"/>
      <c r="AV219" s="139"/>
      <c r="AW219" s="139"/>
      <c r="AX219" s="139"/>
      <c r="AY219" s="139"/>
      <c r="AZ219" s="139"/>
      <c r="BA219" s="139"/>
      <c r="BB219" s="139"/>
      <c r="BC219" s="139"/>
      <c r="BD219" s="139"/>
      <c r="BE219" s="139"/>
      <c r="BF219" s="139"/>
      <c r="BG219" s="139"/>
      <c r="BH219" s="139"/>
      <c r="BI219" s="139"/>
    </row>
    <row r="220" spans="1:63" s="47" customFormat="1" ht="21.75" customHeight="1" x14ac:dyDescent="0.25">
      <c r="A220" s="155" t="s">
        <v>107</v>
      </c>
      <c r="B220" s="203" t="str">
        <f>Empreendimentos!A124</f>
        <v>AL'DORA NEXUS GENOVA</v>
      </c>
      <c r="C220" s="156"/>
      <c r="D220" s="156"/>
      <c r="E220" s="157"/>
      <c r="F220" s="216">
        <f>SUM(F221:F222)</f>
        <v>36007.325718</v>
      </c>
      <c r="G220" s="216">
        <f>SUM(G221:G222)</f>
        <v>74437.212035999997</v>
      </c>
      <c r="H220" s="213">
        <f>SUM(H221:H222)</f>
        <v>504102560.05199999</v>
      </c>
      <c r="I220" s="213">
        <f>SUM(I221:I222)</f>
        <v>331873036.75559998</v>
      </c>
      <c r="J220" s="198">
        <f>H220/$H$225</f>
        <v>1</v>
      </c>
      <c r="K220" s="198">
        <f>I220/$I$230</f>
        <v>1</v>
      </c>
      <c r="L220" s="158"/>
      <c r="M220" s="159"/>
      <c r="N220" s="159"/>
      <c r="O220" s="159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  <c r="AA220" s="160"/>
      <c r="AB220" s="160"/>
      <c r="AC220" s="160"/>
      <c r="AD220" s="160"/>
      <c r="AE220" s="160"/>
      <c r="AF220" s="160"/>
      <c r="AG220" s="161"/>
      <c r="AH220" s="161"/>
      <c r="AI220" s="161"/>
      <c r="AJ220" s="161"/>
      <c r="AK220" s="161"/>
      <c r="AL220" s="161"/>
      <c r="AM220" s="161"/>
      <c r="AN220" s="161"/>
      <c r="AO220" s="161"/>
      <c r="AP220" s="161"/>
      <c r="AQ220" s="161"/>
      <c r="AR220" s="161"/>
      <c r="AS220" s="161"/>
      <c r="AT220" s="161"/>
      <c r="AU220" s="161"/>
      <c r="AV220" s="161"/>
      <c r="AW220" s="161"/>
      <c r="AX220" s="161"/>
      <c r="AY220" s="161"/>
      <c r="AZ220" s="161"/>
      <c r="BA220" s="161"/>
      <c r="BB220" s="161"/>
      <c r="BC220" s="161"/>
      <c r="BD220" s="161"/>
      <c r="BE220" s="161"/>
      <c r="BF220" s="161"/>
      <c r="BG220" s="161"/>
      <c r="BH220" s="161"/>
      <c r="BI220" s="162"/>
      <c r="BJ220" s="119">
        <f>SUM(L220:BI220)</f>
        <v>0</v>
      </c>
      <c r="BK220" s="33"/>
    </row>
    <row r="221" spans="1:63" ht="21.75" customHeight="1" x14ac:dyDescent="0.25">
      <c r="A221" s="209"/>
      <c r="B221" s="210" t="str">
        <f>Empreendimentos!C126</f>
        <v>Comercial / Corporativos</v>
      </c>
      <c r="C221" s="220" t="str">
        <f>$C$342</f>
        <v>Coorporativo</v>
      </c>
      <c r="D221" s="148">
        <f>Empreendimentos!L126</f>
        <v>5</v>
      </c>
      <c r="E221" s="173"/>
      <c r="F221" s="149">
        <f>Empreendimentos!H126</f>
        <v>36007.325718</v>
      </c>
      <c r="G221" s="149">
        <f>Empreendimentos!I126</f>
        <v>72014.651436</v>
      </c>
      <c r="H221" s="179">
        <f>F221*VLOOKUP(C221,$C$337:$E$351,2,FALSE)</f>
        <v>504102560.05199999</v>
      </c>
      <c r="I221" s="180">
        <f>G221*VLOOKUP(C221,$C$337:$E$351,3,FALSE)</f>
        <v>331267396.6056</v>
      </c>
      <c r="J221" s="204">
        <v>1</v>
      </c>
      <c r="K221" s="204">
        <v>1</v>
      </c>
      <c r="L221" s="123"/>
      <c r="M221" s="124">
        <f>'Cronogramaa Fisico'!E34</f>
        <v>0.1</v>
      </c>
      <c r="N221" s="124">
        <f>'Cronogramaa Fisico'!F34</f>
        <v>0.125</v>
      </c>
      <c r="O221" s="124">
        <f>'Cronogramaa Fisico'!G34</f>
        <v>0.15</v>
      </c>
      <c r="P221" s="124">
        <f>'Cronogramaa Fisico'!H34</f>
        <v>0.1</v>
      </c>
      <c r="Q221" s="124">
        <f>'Cronogramaa Fisico'!I34</f>
        <v>0.05</v>
      </c>
      <c r="R221" s="124">
        <f>'Cronogramaa Fisico'!J34</f>
        <v>0.05</v>
      </c>
      <c r="S221" s="124">
        <f>'Cronogramaa Fisico'!K34</f>
        <v>0</v>
      </c>
      <c r="T221" s="124">
        <f>'Cronogramaa Fisico'!L34</f>
        <v>0</v>
      </c>
      <c r="U221" s="124">
        <f>'Cronogramaa Fisico'!M34</f>
        <v>0.06</v>
      </c>
      <c r="V221" s="124">
        <f>'Cronogramaa Fisico'!N34</f>
        <v>0.14000000000000001</v>
      </c>
      <c r="W221" s="124">
        <f>'Cronogramaa Fisico'!O34</f>
        <v>0</v>
      </c>
      <c r="X221" s="124">
        <f>'Cronogramaa Fisico'!P34</f>
        <v>0</v>
      </c>
      <c r="Y221" s="124">
        <f>'Cronogramaa Fisico'!Q34</f>
        <v>8.5000000000000006E-2</v>
      </c>
      <c r="Z221" s="124">
        <f>'Cronogramaa Fisico'!R34</f>
        <v>0.14000000000000001</v>
      </c>
      <c r="AA221" s="124">
        <f>'Cronogramaa Fisico'!S34</f>
        <v>0</v>
      </c>
      <c r="AB221" s="124">
        <f>'Cronogramaa Fisico'!T34</f>
        <v>0</v>
      </c>
      <c r="AC221" s="124">
        <f>'Cronogramaa Fisico'!U34</f>
        <v>0</v>
      </c>
      <c r="AD221" s="124">
        <f>'Cronogramaa Fisico'!V34</f>
        <v>0</v>
      </c>
      <c r="AE221" s="124">
        <f>'Cronogramaa Fisico'!W34</f>
        <v>0</v>
      </c>
      <c r="AF221" s="124">
        <f>'Cronogramaa Fisico'!X34</f>
        <v>0</v>
      </c>
      <c r="AG221" s="124">
        <f>'Cronogramaa Fisico'!Y34</f>
        <v>0</v>
      </c>
      <c r="AH221" s="124">
        <f>'Cronogramaa Fisico'!Z34</f>
        <v>0</v>
      </c>
      <c r="AI221" s="124">
        <f>'Cronogramaa Fisico'!AA34</f>
        <v>0</v>
      </c>
      <c r="AJ221" s="225"/>
      <c r="AK221" s="225"/>
      <c r="AL221" s="225"/>
      <c r="AM221" s="225"/>
      <c r="AN221" s="225"/>
      <c r="AO221" s="225"/>
      <c r="AP221" s="225"/>
      <c r="AQ221" s="225"/>
      <c r="AR221" s="225"/>
      <c r="AS221" s="225"/>
      <c r="AT221" s="225"/>
      <c r="AU221" s="225"/>
      <c r="AV221" s="225"/>
      <c r="AW221" s="225"/>
      <c r="AX221" s="225"/>
      <c r="AY221" s="225"/>
      <c r="AZ221" s="225"/>
      <c r="BA221" s="225"/>
      <c r="BB221" s="225"/>
      <c r="BC221" s="225"/>
      <c r="BD221" s="225"/>
      <c r="BE221" s="225"/>
      <c r="BF221" s="225"/>
      <c r="BG221" s="225"/>
      <c r="BH221" s="225"/>
      <c r="BI221" s="127"/>
      <c r="BJ221" s="119">
        <f>SUM(L221:BI221)</f>
        <v>1</v>
      </c>
    </row>
    <row r="222" spans="1:63" ht="21.75" customHeight="1" x14ac:dyDescent="0.25">
      <c r="A222" s="209"/>
      <c r="B222" s="219" t="str">
        <f>Empreendimentos!C127</f>
        <v>Área publica</v>
      </c>
      <c r="C222" s="220" t="str">
        <f>$C$350</f>
        <v>Parque Genova</v>
      </c>
      <c r="D222" s="148"/>
      <c r="E222" s="173"/>
      <c r="F222" s="149"/>
      <c r="G222" s="149">
        <f>Empreendimentos!D127</f>
        <v>2422.5605999999998</v>
      </c>
      <c r="H222" s="179"/>
      <c r="I222" s="180">
        <f>G222*VLOOKUP(C222,$C$337:$E$351,3,FALSE)</f>
        <v>605640.14999999991</v>
      </c>
      <c r="J222" s="204">
        <v>1</v>
      </c>
      <c r="K222" s="204">
        <v>1</v>
      </c>
      <c r="L222" s="123"/>
      <c r="M222" s="124"/>
      <c r="N222" s="124">
        <v>0.3</v>
      </c>
      <c r="O222" s="124"/>
      <c r="P222" s="125"/>
      <c r="Q222" s="125"/>
      <c r="R222" s="125">
        <v>0.3</v>
      </c>
      <c r="S222" s="125"/>
      <c r="T222" s="125"/>
      <c r="U222" s="125"/>
      <c r="V222" s="125">
        <v>0.3</v>
      </c>
      <c r="W222" s="125"/>
      <c r="X222" s="125"/>
      <c r="Y222" s="125"/>
      <c r="Z222" s="125">
        <v>0.1</v>
      </c>
      <c r="AA222" s="125"/>
      <c r="AB222" s="125"/>
      <c r="AC222" s="125"/>
      <c r="AD222" s="125"/>
      <c r="AE222" s="125"/>
      <c r="AF222" s="125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126"/>
      <c r="AS222" s="126"/>
      <c r="AT222" s="126"/>
      <c r="AU222" s="126"/>
      <c r="AV222" s="126"/>
      <c r="AW222" s="126"/>
      <c r="AX222" s="126"/>
      <c r="AY222" s="126"/>
      <c r="AZ222" s="126"/>
      <c r="BA222" s="126"/>
      <c r="BB222" s="126"/>
      <c r="BC222" s="126"/>
      <c r="BD222" s="126"/>
      <c r="BE222" s="126"/>
      <c r="BF222" s="126"/>
      <c r="BG222" s="126"/>
      <c r="BH222" s="126"/>
      <c r="BI222" s="127"/>
      <c r="BJ222" s="119">
        <f>SUM(L222:BI222)</f>
        <v>0.99999999999999989</v>
      </c>
    </row>
    <row r="223" spans="1:63" s="13" customFormat="1" ht="9.6" customHeight="1" x14ac:dyDescent="0.25">
      <c r="A223" s="130"/>
      <c r="B223" s="131"/>
      <c r="C223" s="131"/>
      <c r="D223" s="131"/>
      <c r="E223" s="131"/>
      <c r="F223" s="131"/>
      <c r="G223" s="131"/>
      <c r="H223" s="131"/>
      <c r="I223" s="132"/>
      <c r="J223" s="207">
        <f>H223/$H$42</f>
        <v>0</v>
      </c>
      <c r="K223" s="207">
        <f>I223/$H$42</f>
        <v>0</v>
      </c>
      <c r="L223" s="133"/>
      <c r="M223" s="134"/>
      <c r="N223" s="134"/>
      <c r="O223" s="134"/>
      <c r="P223" s="135"/>
      <c r="Q223" s="135"/>
      <c r="R223" s="135"/>
      <c r="S223" s="135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7"/>
      <c r="AH223" s="137"/>
      <c r="AI223" s="137"/>
      <c r="AJ223" s="137"/>
      <c r="AK223" s="137"/>
      <c r="AL223" s="137"/>
      <c r="AM223" s="137"/>
      <c r="AN223" s="137"/>
      <c r="AO223" s="137"/>
      <c r="AP223" s="137"/>
      <c r="AQ223" s="137"/>
      <c r="AR223" s="137"/>
      <c r="AS223" s="137"/>
      <c r="AT223" s="137"/>
      <c r="AU223" s="137"/>
      <c r="AV223" s="137"/>
      <c r="AW223" s="137"/>
      <c r="AX223" s="137"/>
      <c r="AY223" s="137"/>
      <c r="AZ223" s="137"/>
      <c r="BA223" s="137"/>
      <c r="BB223" s="137"/>
      <c r="BC223" s="137"/>
      <c r="BD223" s="137"/>
      <c r="BE223" s="137"/>
      <c r="BF223" s="137"/>
      <c r="BG223" s="137"/>
      <c r="BH223" s="137"/>
      <c r="BI223" s="138"/>
      <c r="BJ223" s="119">
        <f>SUM(K223:AI223)</f>
        <v>0</v>
      </c>
    </row>
    <row r="224" spans="1:63" s="13" customFormat="1" ht="7.8" customHeight="1" x14ac:dyDescent="0.25">
      <c r="A224" s="139"/>
      <c r="B224" s="140"/>
      <c r="C224" s="140"/>
      <c r="D224" s="140"/>
      <c r="E224" s="140"/>
      <c r="F224" s="140"/>
      <c r="G224" s="140"/>
      <c r="H224" s="140"/>
      <c r="I224" s="141"/>
      <c r="J224" s="140"/>
      <c r="K224" s="140"/>
      <c r="L224" s="139"/>
      <c r="M224" s="139"/>
      <c r="N224" s="139"/>
      <c r="O224" s="139"/>
      <c r="P224" s="139"/>
      <c r="Q224" s="139"/>
      <c r="R224" s="139"/>
      <c r="S224" s="139"/>
      <c r="T224" s="142"/>
      <c r="U224" s="142"/>
      <c r="V224" s="142"/>
      <c r="W224" s="142"/>
      <c r="X224" s="142"/>
      <c r="Y224" s="142"/>
      <c r="Z224" s="142"/>
      <c r="AA224" s="142"/>
      <c r="AB224" s="142"/>
      <c r="AC224" s="142"/>
      <c r="AD224" s="142"/>
      <c r="AE224" s="142"/>
      <c r="AF224" s="142"/>
      <c r="AG224" s="142"/>
      <c r="AH224" s="142"/>
      <c r="AI224" s="142"/>
      <c r="AJ224" s="142"/>
      <c r="AK224" s="142"/>
      <c r="AL224" s="142"/>
      <c r="AM224" s="142"/>
      <c r="AN224" s="142"/>
      <c r="AO224" s="142"/>
      <c r="AP224" s="142"/>
      <c r="AQ224" s="142"/>
      <c r="AR224" s="142"/>
      <c r="AS224" s="142"/>
      <c r="AT224" s="142"/>
      <c r="AU224" s="142"/>
      <c r="AV224" s="142"/>
      <c r="AW224" s="142"/>
      <c r="AX224" s="142"/>
      <c r="AY224" s="142"/>
      <c r="AZ224" s="142"/>
      <c r="BA224" s="142"/>
      <c r="BB224" s="142"/>
      <c r="BC224" s="142"/>
      <c r="BD224" s="142"/>
      <c r="BE224" s="142"/>
      <c r="BF224" s="142"/>
      <c r="BG224" s="142"/>
      <c r="BH224" s="142"/>
      <c r="BI224" s="142"/>
      <c r="BJ224" s="143"/>
    </row>
    <row r="225" spans="1:63" s="144" customFormat="1" ht="18" customHeight="1" x14ac:dyDescent="0.25">
      <c r="A225" s="379" t="s">
        <v>223</v>
      </c>
      <c r="B225" s="380"/>
      <c r="C225" s="385" t="s">
        <v>168</v>
      </c>
      <c r="D225" s="386"/>
      <c r="E225" s="386"/>
      <c r="F225" s="386"/>
      <c r="G225" s="387"/>
      <c r="H225" s="388">
        <f>H220</f>
        <v>504102560.05199999</v>
      </c>
      <c r="I225" s="388"/>
      <c r="J225" s="389">
        <f>J220</f>
        <v>1</v>
      </c>
      <c r="K225" s="389"/>
      <c r="L225" s="163">
        <f t="shared" ref="L225:M225" si="595">SUMPRODUCT($H221:$H223,L221:L223)</f>
        <v>0</v>
      </c>
      <c r="M225" s="163">
        <f t="shared" si="595"/>
        <v>50410256.005199999</v>
      </c>
      <c r="N225" s="163">
        <f t="shared" ref="N225:BI225" si="596">SUMPRODUCT($H221:$H223,N221:N223)</f>
        <v>63012820.006499998</v>
      </c>
      <c r="O225" s="163">
        <f t="shared" si="596"/>
        <v>75615384.007799998</v>
      </c>
      <c r="P225" s="163">
        <f t="shared" si="596"/>
        <v>50410256.005199999</v>
      </c>
      <c r="Q225" s="163">
        <f t="shared" si="596"/>
        <v>25205128.002599999</v>
      </c>
      <c r="R225" s="163">
        <f t="shared" si="596"/>
        <v>25205128.002599999</v>
      </c>
      <c r="S225" s="163">
        <f t="shared" si="596"/>
        <v>0</v>
      </c>
      <c r="T225" s="163">
        <f t="shared" si="596"/>
        <v>0</v>
      </c>
      <c r="U225" s="163">
        <f t="shared" si="596"/>
        <v>30246153.603119999</v>
      </c>
      <c r="V225" s="163">
        <f t="shared" si="596"/>
        <v>70574358.407279998</v>
      </c>
      <c r="W225" s="163">
        <f t="shared" si="596"/>
        <v>0</v>
      </c>
      <c r="X225" s="163">
        <f t="shared" si="596"/>
        <v>0</v>
      </c>
      <c r="Y225" s="163">
        <f t="shared" si="596"/>
        <v>42848717.604419999</v>
      </c>
      <c r="Z225" s="163">
        <f t="shared" si="596"/>
        <v>70574358.407279998</v>
      </c>
      <c r="AA225" s="163">
        <f t="shared" si="596"/>
        <v>0</v>
      </c>
      <c r="AB225" s="163">
        <f t="shared" si="596"/>
        <v>0</v>
      </c>
      <c r="AC225" s="163">
        <f t="shared" si="596"/>
        <v>0</v>
      </c>
      <c r="AD225" s="163">
        <f t="shared" si="596"/>
        <v>0</v>
      </c>
      <c r="AE225" s="163">
        <f t="shared" si="596"/>
        <v>0</v>
      </c>
      <c r="AF225" s="163">
        <f t="shared" si="596"/>
        <v>0</v>
      </c>
      <c r="AG225" s="163">
        <f t="shared" si="596"/>
        <v>0</v>
      </c>
      <c r="AH225" s="163">
        <f t="shared" si="596"/>
        <v>0</v>
      </c>
      <c r="AI225" s="163">
        <f t="shared" si="596"/>
        <v>0</v>
      </c>
      <c r="AJ225" s="163">
        <f t="shared" si="596"/>
        <v>0</v>
      </c>
      <c r="AK225" s="163">
        <f t="shared" si="596"/>
        <v>0</v>
      </c>
      <c r="AL225" s="163">
        <f t="shared" si="596"/>
        <v>0</v>
      </c>
      <c r="AM225" s="163">
        <f t="shared" si="596"/>
        <v>0</v>
      </c>
      <c r="AN225" s="163">
        <f t="shared" si="596"/>
        <v>0</v>
      </c>
      <c r="AO225" s="163">
        <f t="shared" si="596"/>
        <v>0</v>
      </c>
      <c r="AP225" s="163">
        <f t="shared" si="596"/>
        <v>0</v>
      </c>
      <c r="AQ225" s="163">
        <f t="shared" si="596"/>
        <v>0</v>
      </c>
      <c r="AR225" s="163">
        <f t="shared" si="596"/>
        <v>0</v>
      </c>
      <c r="AS225" s="163">
        <f t="shared" si="596"/>
        <v>0</v>
      </c>
      <c r="AT225" s="163">
        <f t="shared" si="596"/>
        <v>0</v>
      </c>
      <c r="AU225" s="163">
        <f t="shared" si="596"/>
        <v>0</v>
      </c>
      <c r="AV225" s="163">
        <f t="shared" si="596"/>
        <v>0</v>
      </c>
      <c r="AW225" s="163">
        <f t="shared" si="596"/>
        <v>0</v>
      </c>
      <c r="AX225" s="163">
        <f t="shared" si="596"/>
        <v>0</v>
      </c>
      <c r="AY225" s="163">
        <f t="shared" si="596"/>
        <v>0</v>
      </c>
      <c r="AZ225" s="163">
        <f t="shared" si="596"/>
        <v>0</v>
      </c>
      <c r="BA225" s="163">
        <f t="shared" si="596"/>
        <v>0</v>
      </c>
      <c r="BB225" s="163">
        <f t="shared" si="596"/>
        <v>0</v>
      </c>
      <c r="BC225" s="163">
        <f t="shared" si="596"/>
        <v>0</v>
      </c>
      <c r="BD225" s="163">
        <f t="shared" si="596"/>
        <v>0</v>
      </c>
      <c r="BE225" s="163">
        <f t="shared" si="596"/>
        <v>0</v>
      </c>
      <c r="BF225" s="163">
        <f t="shared" si="596"/>
        <v>0</v>
      </c>
      <c r="BG225" s="163">
        <f t="shared" si="596"/>
        <v>0</v>
      </c>
      <c r="BH225" s="163">
        <f t="shared" si="596"/>
        <v>0</v>
      </c>
      <c r="BI225" s="163">
        <f t="shared" si="596"/>
        <v>0</v>
      </c>
    </row>
    <row r="226" spans="1:63" s="144" customFormat="1" ht="18" customHeight="1" x14ac:dyDescent="0.25">
      <c r="A226" s="381"/>
      <c r="B226" s="382"/>
      <c r="C226" s="385" t="s">
        <v>169</v>
      </c>
      <c r="D226" s="386"/>
      <c r="E226" s="386"/>
      <c r="F226" s="386"/>
      <c r="G226" s="387"/>
      <c r="H226" s="388"/>
      <c r="I226" s="388"/>
      <c r="J226" s="389"/>
      <c r="K226" s="389"/>
      <c r="L226" s="164">
        <f>L225</f>
        <v>0</v>
      </c>
      <c r="M226" s="164">
        <f>M225+L226</f>
        <v>50410256.005199999</v>
      </c>
      <c r="N226" s="164">
        <f t="shared" ref="N226:BI226" si="597">N225+M226</f>
        <v>113423076.0117</v>
      </c>
      <c r="O226" s="164">
        <f t="shared" si="597"/>
        <v>189038460.01950002</v>
      </c>
      <c r="P226" s="164">
        <f t="shared" si="597"/>
        <v>239448716.02470002</v>
      </c>
      <c r="Q226" s="164">
        <f t="shared" si="597"/>
        <v>264653844.0273</v>
      </c>
      <c r="R226" s="164">
        <f t="shared" si="597"/>
        <v>289858972.02990001</v>
      </c>
      <c r="S226" s="164">
        <f t="shared" si="597"/>
        <v>289858972.02990001</v>
      </c>
      <c r="T226" s="164">
        <f t="shared" si="597"/>
        <v>289858972.02990001</v>
      </c>
      <c r="U226" s="164">
        <f t="shared" si="597"/>
        <v>320105125.63302004</v>
      </c>
      <c r="V226" s="164">
        <f t="shared" si="597"/>
        <v>390679484.04030001</v>
      </c>
      <c r="W226" s="164">
        <f t="shared" si="597"/>
        <v>390679484.04030001</v>
      </c>
      <c r="X226" s="164">
        <f t="shared" si="597"/>
        <v>390679484.04030001</v>
      </c>
      <c r="Y226" s="164">
        <f t="shared" si="597"/>
        <v>433528201.64472002</v>
      </c>
      <c r="Z226" s="164">
        <f t="shared" si="597"/>
        <v>504102560.05200005</v>
      </c>
      <c r="AA226" s="164">
        <f t="shared" si="597"/>
        <v>504102560.05200005</v>
      </c>
      <c r="AB226" s="164">
        <f t="shared" si="597"/>
        <v>504102560.05200005</v>
      </c>
      <c r="AC226" s="164">
        <f t="shared" si="597"/>
        <v>504102560.05200005</v>
      </c>
      <c r="AD226" s="164">
        <f t="shared" si="597"/>
        <v>504102560.05200005</v>
      </c>
      <c r="AE226" s="164">
        <f t="shared" si="597"/>
        <v>504102560.05200005</v>
      </c>
      <c r="AF226" s="164">
        <f t="shared" si="597"/>
        <v>504102560.05200005</v>
      </c>
      <c r="AG226" s="164">
        <f t="shared" si="597"/>
        <v>504102560.05200005</v>
      </c>
      <c r="AH226" s="164">
        <f t="shared" si="597"/>
        <v>504102560.05200005</v>
      </c>
      <c r="AI226" s="164">
        <f t="shared" si="597"/>
        <v>504102560.05200005</v>
      </c>
      <c r="AJ226" s="164">
        <f t="shared" si="597"/>
        <v>504102560.05200005</v>
      </c>
      <c r="AK226" s="164">
        <f t="shared" si="597"/>
        <v>504102560.05200005</v>
      </c>
      <c r="AL226" s="164">
        <f t="shared" si="597"/>
        <v>504102560.05200005</v>
      </c>
      <c r="AM226" s="164">
        <f t="shared" si="597"/>
        <v>504102560.05200005</v>
      </c>
      <c r="AN226" s="164">
        <f t="shared" si="597"/>
        <v>504102560.05200005</v>
      </c>
      <c r="AO226" s="164">
        <f t="shared" si="597"/>
        <v>504102560.05200005</v>
      </c>
      <c r="AP226" s="164">
        <f t="shared" si="597"/>
        <v>504102560.05200005</v>
      </c>
      <c r="AQ226" s="164">
        <f t="shared" si="597"/>
        <v>504102560.05200005</v>
      </c>
      <c r="AR226" s="164">
        <f t="shared" si="597"/>
        <v>504102560.05200005</v>
      </c>
      <c r="AS226" s="164">
        <f t="shared" si="597"/>
        <v>504102560.05200005</v>
      </c>
      <c r="AT226" s="164">
        <f t="shared" si="597"/>
        <v>504102560.05200005</v>
      </c>
      <c r="AU226" s="164">
        <f t="shared" si="597"/>
        <v>504102560.05200005</v>
      </c>
      <c r="AV226" s="164">
        <f t="shared" si="597"/>
        <v>504102560.05200005</v>
      </c>
      <c r="AW226" s="164">
        <f t="shared" si="597"/>
        <v>504102560.05200005</v>
      </c>
      <c r="AX226" s="164">
        <f t="shared" si="597"/>
        <v>504102560.05200005</v>
      </c>
      <c r="AY226" s="164">
        <f t="shared" si="597"/>
        <v>504102560.05200005</v>
      </c>
      <c r="AZ226" s="164">
        <f t="shared" si="597"/>
        <v>504102560.05200005</v>
      </c>
      <c r="BA226" s="164">
        <f t="shared" si="597"/>
        <v>504102560.05200005</v>
      </c>
      <c r="BB226" s="164">
        <f t="shared" si="597"/>
        <v>504102560.05200005</v>
      </c>
      <c r="BC226" s="164">
        <f t="shared" si="597"/>
        <v>504102560.05200005</v>
      </c>
      <c r="BD226" s="164">
        <f t="shared" si="597"/>
        <v>504102560.05200005</v>
      </c>
      <c r="BE226" s="164">
        <f t="shared" si="597"/>
        <v>504102560.05200005</v>
      </c>
      <c r="BF226" s="164">
        <f t="shared" si="597"/>
        <v>504102560.05200005</v>
      </c>
      <c r="BG226" s="164">
        <f t="shared" si="597"/>
        <v>504102560.05200005</v>
      </c>
      <c r="BH226" s="164">
        <f t="shared" si="597"/>
        <v>504102560.05200005</v>
      </c>
      <c r="BI226" s="164">
        <f t="shared" si="597"/>
        <v>504102560.05200005</v>
      </c>
    </row>
    <row r="227" spans="1:63" s="144" customFormat="1" ht="18" customHeight="1" x14ac:dyDescent="0.25">
      <c r="A227" s="381"/>
      <c r="B227" s="382"/>
      <c r="C227" s="385" t="s">
        <v>170</v>
      </c>
      <c r="D227" s="386"/>
      <c r="E227" s="386"/>
      <c r="F227" s="386"/>
      <c r="G227" s="387"/>
      <c r="H227" s="388"/>
      <c r="I227" s="388"/>
      <c r="J227" s="389"/>
      <c r="K227" s="389"/>
      <c r="L227" s="165">
        <f>L225/$H$225</f>
        <v>0</v>
      </c>
      <c r="M227" s="165">
        <f>M225/$H$225</f>
        <v>0.1</v>
      </c>
      <c r="N227" s="165">
        <f t="shared" ref="N227:BI227" si="598">N225/$H$225</f>
        <v>0.125</v>
      </c>
      <c r="O227" s="165">
        <f t="shared" si="598"/>
        <v>0.15</v>
      </c>
      <c r="P227" s="165">
        <f t="shared" si="598"/>
        <v>0.1</v>
      </c>
      <c r="Q227" s="165">
        <f t="shared" si="598"/>
        <v>0.05</v>
      </c>
      <c r="R227" s="165">
        <f t="shared" si="598"/>
        <v>0.05</v>
      </c>
      <c r="S227" s="165">
        <f t="shared" si="598"/>
        <v>0</v>
      </c>
      <c r="T227" s="165">
        <f t="shared" si="598"/>
        <v>0</v>
      </c>
      <c r="U227" s="165">
        <f t="shared" si="598"/>
        <v>0.06</v>
      </c>
      <c r="V227" s="165">
        <f t="shared" si="598"/>
        <v>0.14000000000000001</v>
      </c>
      <c r="W227" s="165">
        <f t="shared" si="598"/>
        <v>0</v>
      </c>
      <c r="X227" s="165">
        <f t="shared" si="598"/>
        <v>0</v>
      </c>
      <c r="Y227" s="165">
        <f t="shared" si="598"/>
        <v>8.5000000000000006E-2</v>
      </c>
      <c r="Z227" s="165">
        <f t="shared" si="598"/>
        <v>0.14000000000000001</v>
      </c>
      <c r="AA227" s="165">
        <f t="shared" si="598"/>
        <v>0</v>
      </c>
      <c r="AB227" s="165">
        <f t="shared" si="598"/>
        <v>0</v>
      </c>
      <c r="AC227" s="165">
        <f t="shared" si="598"/>
        <v>0</v>
      </c>
      <c r="AD227" s="165">
        <f t="shared" si="598"/>
        <v>0</v>
      </c>
      <c r="AE227" s="165">
        <f t="shared" si="598"/>
        <v>0</v>
      </c>
      <c r="AF227" s="165">
        <f t="shared" si="598"/>
        <v>0</v>
      </c>
      <c r="AG227" s="165">
        <f t="shared" si="598"/>
        <v>0</v>
      </c>
      <c r="AH227" s="165">
        <f t="shared" si="598"/>
        <v>0</v>
      </c>
      <c r="AI227" s="165">
        <f t="shared" si="598"/>
        <v>0</v>
      </c>
      <c r="AJ227" s="165">
        <f t="shared" si="598"/>
        <v>0</v>
      </c>
      <c r="AK227" s="165">
        <f t="shared" si="598"/>
        <v>0</v>
      </c>
      <c r="AL227" s="165">
        <f t="shared" si="598"/>
        <v>0</v>
      </c>
      <c r="AM227" s="165">
        <f t="shared" si="598"/>
        <v>0</v>
      </c>
      <c r="AN227" s="165">
        <f t="shared" si="598"/>
        <v>0</v>
      </c>
      <c r="AO227" s="165">
        <f t="shared" si="598"/>
        <v>0</v>
      </c>
      <c r="AP227" s="165">
        <f t="shared" si="598"/>
        <v>0</v>
      </c>
      <c r="AQ227" s="165">
        <f t="shared" si="598"/>
        <v>0</v>
      </c>
      <c r="AR227" s="165">
        <f t="shared" si="598"/>
        <v>0</v>
      </c>
      <c r="AS227" s="165">
        <f t="shared" si="598"/>
        <v>0</v>
      </c>
      <c r="AT227" s="165">
        <f t="shared" si="598"/>
        <v>0</v>
      </c>
      <c r="AU227" s="165">
        <f t="shared" si="598"/>
        <v>0</v>
      </c>
      <c r="AV227" s="165">
        <f t="shared" si="598"/>
        <v>0</v>
      </c>
      <c r="AW227" s="165">
        <f t="shared" si="598"/>
        <v>0</v>
      </c>
      <c r="AX227" s="165">
        <f t="shared" si="598"/>
        <v>0</v>
      </c>
      <c r="AY227" s="165">
        <f t="shared" si="598"/>
        <v>0</v>
      </c>
      <c r="AZ227" s="165">
        <f t="shared" si="598"/>
        <v>0</v>
      </c>
      <c r="BA227" s="165">
        <f t="shared" si="598"/>
        <v>0</v>
      </c>
      <c r="BB227" s="165">
        <f t="shared" si="598"/>
        <v>0</v>
      </c>
      <c r="BC227" s="165">
        <f t="shared" si="598"/>
        <v>0</v>
      </c>
      <c r="BD227" s="165">
        <f t="shared" si="598"/>
        <v>0</v>
      </c>
      <c r="BE227" s="165">
        <f t="shared" si="598"/>
        <v>0</v>
      </c>
      <c r="BF227" s="165">
        <f t="shared" si="598"/>
        <v>0</v>
      </c>
      <c r="BG227" s="165">
        <f t="shared" si="598"/>
        <v>0</v>
      </c>
      <c r="BH227" s="165">
        <f t="shared" si="598"/>
        <v>0</v>
      </c>
      <c r="BI227" s="165">
        <f t="shared" si="598"/>
        <v>0</v>
      </c>
    </row>
    <row r="228" spans="1:63" s="144" customFormat="1" ht="18" customHeight="1" x14ac:dyDescent="0.25">
      <c r="A228" s="383"/>
      <c r="B228" s="384"/>
      <c r="C228" s="385" t="s">
        <v>171</v>
      </c>
      <c r="D228" s="386"/>
      <c r="E228" s="386"/>
      <c r="F228" s="386"/>
      <c r="G228" s="387"/>
      <c r="H228" s="388"/>
      <c r="I228" s="388"/>
      <c r="J228" s="389"/>
      <c r="K228" s="389"/>
      <c r="L228" s="165">
        <f t="shared" ref="L228" si="599">L227+K228</f>
        <v>0</v>
      </c>
      <c r="M228" s="165">
        <f>M227+L228</f>
        <v>0.1</v>
      </c>
      <c r="N228" s="165">
        <f t="shared" ref="N228:BI228" si="600">N227+M228</f>
        <v>0.22500000000000001</v>
      </c>
      <c r="O228" s="165">
        <f t="shared" si="600"/>
        <v>0.375</v>
      </c>
      <c r="P228" s="165">
        <f t="shared" si="600"/>
        <v>0.47499999999999998</v>
      </c>
      <c r="Q228" s="165">
        <f t="shared" si="600"/>
        <v>0.52500000000000002</v>
      </c>
      <c r="R228" s="165">
        <f t="shared" si="600"/>
        <v>0.57500000000000007</v>
      </c>
      <c r="S228" s="165">
        <f t="shared" si="600"/>
        <v>0.57500000000000007</v>
      </c>
      <c r="T228" s="165">
        <f t="shared" si="600"/>
        <v>0.57500000000000007</v>
      </c>
      <c r="U228" s="165">
        <f t="shared" si="600"/>
        <v>0.63500000000000001</v>
      </c>
      <c r="V228" s="165">
        <f t="shared" si="600"/>
        <v>0.77500000000000002</v>
      </c>
      <c r="W228" s="165">
        <f t="shared" si="600"/>
        <v>0.77500000000000002</v>
      </c>
      <c r="X228" s="165">
        <f t="shared" si="600"/>
        <v>0.77500000000000002</v>
      </c>
      <c r="Y228" s="165">
        <f t="shared" si="600"/>
        <v>0.86</v>
      </c>
      <c r="Z228" s="165">
        <f t="shared" si="600"/>
        <v>1</v>
      </c>
      <c r="AA228" s="165">
        <f t="shared" si="600"/>
        <v>1</v>
      </c>
      <c r="AB228" s="165">
        <f t="shared" si="600"/>
        <v>1</v>
      </c>
      <c r="AC228" s="165">
        <f t="shared" si="600"/>
        <v>1</v>
      </c>
      <c r="AD228" s="165">
        <f t="shared" si="600"/>
        <v>1</v>
      </c>
      <c r="AE228" s="165">
        <f t="shared" si="600"/>
        <v>1</v>
      </c>
      <c r="AF228" s="165">
        <f t="shared" si="600"/>
        <v>1</v>
      </c>
      <c r="AG228" s="165">
        <f t="shared" si="600"/>
        <v>1</v>
      </c>
      <c r="AH228" s="165">
        <f t="shared" si="600"/>
        <v>1</v>
      </c>
      <c r="AI228" s="165">
        <f t="shared" si="600"/>
        <v>1</v>
      </c>
      <c r="AJ228" s="165">
        <f t="shared" si="600"/>
        <v>1</v>
      </c>
      <c r="AK228" s="165">
        <f t="shared" si="600"/>
        <v>1</v>
      </c>
      <c r="AL228" s="165">
        <f t="shared" si="600"/>
        <v>1</v>
      </c>
      <c r="AM228" s="165">
        <f t="shared" si="600"/>
        <v>1</v>
      </c>
      <c r="AN228" s="165">
        <f t="shared" si="600"/>
        <v>1</v>
      </c>
      <c r="AO228" s="165">
        <f t="shared" si="600"/>
        <v>1</v>
      </c>
      <c r="AP228" s="165">
        <f t="shared" si="600"/>
        <v>1</v>
      </c>
      <c r="AQ228" s="165">
        <f t="shared" si="600"/>
        <v>1</v>
      </c>
      <c r="AR228" s="165">
        <f t="shared" si="600"/>
        <v>1</v>
      </c>
      <c r="AS228" s="165">
        <f t="shared" si="600"/>
        <v>1</v>
      </c>
      <c r="AT228" s="165">
        <f t="shared" si="600"/>
        <v>1</v>
      </c>
      <c r="AU228" s="165">
        <f t="shared" si="600"/>
        <v>1</v>
      </c>
      <c r="AV228" s="165">
        <f t="shared" si="600"/>
        <v>1</v>
      </c>
      <c r="AW228" s="165">
        <f t="shared" si="600"/>
        <v>1</v>
      </c>
      <c r="AX228" s="165">
        <f t="shared" si="600"/>
        <v>1</v>
      </c>
      <c r="AY228" s="165">
        <f t="shared" si="600"/>
        <v>1</v>
      </c>
      <c r="AZ228" s="165">
        <f t="shared" si="600"/>
        <v>1</v>
      </c>
      <c r="BA228" s="165">
        <f t="shared" si="600"/>
        <v>1</v>
      </c>
      <c r="BB228" s="165">
        <f t="shared" si="600"/>
        <v>1</v>
      </c>
      <c r="BC228" s="165">
        <f t="shared" si="600"/>
        <v>1</v>
      </c>
      <c r="BD228" s="165">
        <f t="shared" si="600"/>
        <v>1</v>
      </c>
      <c r="BE228" s="165">
        <f t="shared" si="600"/>
        <v>1</v>
      </c>
      <c r="BF228" s="165">
        <f t="shared" si="600"/>
        <v>1</v>
      </c>
      <c r="BG228" s="165">
        <f t="shared" si="600"/>
        <v>1</v>
      </c>
      <c r="BH228" s="165">
        <f t="shared" si="600"/>
        <v>1</v>
      </c>
      <c r="BI228" s="165">
        <f t="shared" si="600"/>
        <v>1</v>
      </c>
    </row>
    <row r="229" spans="1:63" s="140" customFormat="1" ht="10.199999999999999" x14ac:dyDescent="0.25">
      <c r="I229" s="145"/>
      <c r="J229" s="145"/>
      <c r="K229" s="145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  <c r="AC229" s="146"/>
      <c r="AD229" s="146"/>
      <c r="AE229" s="146"/>
      <c r="AF229" s="146"/>
      <c r="AG229" s="146"/>
      <c r="AH229" s="146"/>
      <c r="AI229" s="146"/>
      <c r="AJ229" s="146"/>
      <c r="AK229" s="146"/>
      <c r="AL229" s="146"/>
      <c r="AM229" s="146"/>
      <c r="AN229" s="146"/>
      <c r="AO229" s="146"/>
      <c r="AP229" s="146"/>
      <c r="AQ229" s="146"/>
      <c r="AR229" s="146"/>
      <c r="AS229" s="146"/>
      <c r="AT229" s="146"/>
      <c r="AU229" s="146"/>
      <c r="AV229" s="146"/>
      <c r="AW229" s="146"/>
      <c r="AX229" s="146"/>
      <c r="AY229" s="146"/>
      <c r="AZ229" s="146"/>
      <c r="BA229" s="146"/>
      <c r="BB229" s="146"/>
      <c r="BC229" s="146"/>
      <c r="BD229" s="146"/>
      <c r="BE229" s="146"/>
      <c r="BF229" s="146"/>
      <c r="BG229" s="146"/>
      <c r="BH229" s="146"/>
      <c r="BI229" s="146"/>
    </row>
    <row r="230" spans="1:63" s="144" customFormat="1" ht="18" customHeight="1" x14ac:dyDescent="0.25">
      <c r="A230" s="368" t="s">
        <v>224</v>
      </c>
      <c r="B230" s="369"/>
      <c r="C230" s="374" t="s">
        <v>168</v>
      </c>
      <c r="D230" s="375"/>
      <c r="E230" s="375"/>
      <c r="F230" s="375"/>
      <c r="G230" s="376"/>
      <c r="H230" s="377"/>
      <c r="I230" s="377">
        <f>I220</f>
        <v>331873036.75559998</v>
      </c>
      <c r="J230" s="378"/>
      <c r="K230" s="378">
        <f>K220</f>
        <v>1</v>
      </c>
      <c r="L230" s="200">
        <f t="shared" ref="L230:M230" si="601">SUMPRODUCT($I221:$I223,L221:L223)</f>
        <v>0</v>
      </c>
      <c r="M230" s="200">
        <f t="shared" si="601"/>
        <v>33126739.660560001</v>
      </c>
      <c r="N230" s="200">
        <f t="shared" ref="N230:BI230" si="602">SUMPRODUCT($I221:$I223,N221:N223)</f>
        <v>41590116.620700002</v>
      </c>
      <c r="O230" s="200">
        <f t="shared" si="602"/>
        <v>49690109.490839995</v>
      </c>
      <c r="P230" s="200">
        <f t="shared" si="602"/>
        <v>33126739.660560001</v>
      </c>
      <c r="Q230" s="200">
        <f t="shared" si="602"/>
        <v>16563369.83028</v>
      </c>
      <c r="R230" s="200">
        <f t="shared" si="602"/>
        <v>16745061.87528</v>
      </c>
      <c r="S230" s="200">
        <f t="shared" si="602"/>
        <v>0</v>
      </c>
      <c r="T230" s="200">
        <f t="shared" si="602"/>
        <v>0</v>
      </c>
      <c r="U230" s="200">
        <f t="shared" si="602"/>
        <v>19876043.796335999</v>
      </c>
      <c r="V230" s="200">
        <f t="shared" si="602"/>
        <v>46559127.569784008</v>
      </c>
      <c r="W230" s="200">
        <f t="shared" si="602"/>
        <v>0</v>
      </c>
      <c r="X230" s="200">
        <f t="shared" si="602"/>
        <v>0</v>
      </c>
      <c r="Y230" s="200">
        <f t="shared" si="602"/>
        <v>28157728.711476002</v>
      </c>
      <c r="Z230" s="200">
        <f t="shared" si="602"/>
        <v>46437999.539784007</v>
      </c>
      <c r="AA230" s="200">
        <f t="shared" si="602"/>
        <v>0</v>
      </c>
      <c r="AB230" s="200">
        <f t="shared" si="602"/>
        <v>0</v>
      </c>
      <c r="AC230" s="200">
        <f t="shared" si="602"/>
        <v>0</v>
      </c>
      <c r="AD230" s="200">
        <f t="shared" si="602"/>
        <v>0</v>
      </c>
      <c r="AE230" s="200">
        <f t="shared" si="602"/>
        <v>0</v>
      </c>
      <c r="AF230" s="200">
        <f t="shared" si="602"/>
        <v>0</v>
      </c>
      <c r="AG230" s="200">
        <f t="shared" si="602"/>
        <v>0</v>
      </c>
      <c r="AH230" s="200">
        <f t="shared" si="602"/>
        <v>0</v>
      </c>
      <c r="AI230" s="200">
        <f t="shared" si="602"/>
        <v>0</v>
      </c>
      <c r="AJ230" s="200">
        <f t="shared" si="602"/>
        <v>0</v>
      </c>
      <c r="AK230" s="200">
        <f t="shared" si="602"/>
        <v>0</v>
      </c>
      <c r="AL230" s="200">
        <f t="shared" si="602"/>
        <v>0</v>
      </c>
      <c r="AM230" s="200">
        <f t="shared" si="602"/>
        <v>0</v>
      </c>
      <c r="AN230" s="200">
        <f t="shared" si="602"/>
        <v>0</v>
      </c>
      <c r="AO230" s="200">
        <f t="shared" si="602"/>
        <v>0</v>
      </c>
      <c r="AP230" s="200">
        <f t="shared" si="602"/>
        <v>0</v>
      </c>
      <c r="AQ230" s="200">
        <f t="shared" si="602"/>
        <v>0</v>
      </c>
      <c r="AR230" s="200">
        <f t="shared" si="602"/>
        <v>0</v>
      </c>
      <c r="AS230" s="200">
        <f t="shared" si="602"/>
        <v>0</v>
      </c>
      <c r="AT230" s="200">
        <f t="shared" si="602"/>
        <v>0</v>
      </c>
      <c r="AU230" s="200">
        <f t="shared" si="602"/>
        <v>0</v>
      </c>
      <c r="AV230" s="200">
        <f t="shared" si="602"/>
        <v>0</v>
      </c>
      <c r="AW230" s="200">
        <f t="shared" si="602"/>
        <v>0</v>
      </c>
      <c r="AX230" s="200">
        <f t="shared" si="602"/>
        <v>0</v>
      </c>
      <c r="AY230" s="200">
        <f t="shared" si="602"/>
        <v>0</v>
      </c>
      <c r="AZ230" s="200">
        <f t="shared" si="602"/>
        <v>0</v>
      </c>
      <c r="BA230" s="200">
        <f t="shared" si="602"/>
        <v>0</v>
      </c>
      <c r="BB230" s="200">
        <f t="shared" si="602"/>
        <v>0</v>
      </c>
      <c r="BC230" s="200">
        <f t="shared" si="602"/>
        <v>0</v>
      </c>
      <c r="BD230" s="200">
        <f t="shared" si="602"/>
        <v>0</v>
      </c>
      <c r="BE230" s="200">
        <f t="shared" si="602"/>
        <v>0</v>
      </c>
      <c r="BF230" s="200">
        <f t="shared" si="602"/>
        <v>0</v>
      </c>
      <c r="BG230" s="200">
        <f t="shared" si="602"/>
        <v>0</v>
      </c>
      <c r="BH230" s="200">
        <f t="shared" si="602"/>
        <v>0</v>
      </c>
      <c r="BI230" s="200">
        <f t="shared" si="602"/>
        <v>0</v>
      </c>
    </row>
    <row r="231" spans="1:63" s="144" customFormat="1" ht="18" customHeight="1" x14ac:dyDescent="0.25">
      <c r="A231" s="370"/>
      <c r="B231" s="371"/>
      <c r="C231" s="374" t="s">
        <v>169</v>
      </c>
      <c r="D231" s="375"/>
      <c r="E231" s="375"/>
      <c r="F231" s="375"/>
      <c r="G231" s="376"/>
      <c r="H231" s="377"/>
      <c r="I231" s="377"/>
      <c r="J231" s="378"/>
      <c r="K231" s="378"/>
      <c r="L231" s="201">
        <f>L230</f>
        <v>0</v>
      </c>
      <c r="M231" s="201">
        <f>M230+L231</f>
        <v>33126739.660560001</v>
      </c>
      <c r="N231" s="201">
        <f t="shared" ref="N231:BI231" si="603">N230+M231</f>
        <v>74716856.281259999</v>
      </c>
      <c r="O231" s="201">
        <f t="shared" si="603"/>
        <v>124406965.7721</v>
      </c>
      <c r="P231" s="201">
        <f t="shared" si="603"/>
        <v>157533705.43266001</v>
      </c>
      <c r="Q231" s="201">
        <f t="shared" si="603"/>
        <v>174097075.26294002</v>
      </c>
      <c r="R231" s="201">
        <f t="shared" si="603"/>
        <v>190842137.13822001</v>
      </c>
      <c r="S231" s="201">
        <f t="shared" si="603"/>
        <v>190842137.13822001</v>
      </c>
      <c r="T231" s="201">
        <f t="shared" si="603"/>
        <v>190842137.13822001</v>
      </c>
      <c r="U231" s="201">
        <f t="shared" si="603"/>
        <v>210718180.93455601</v>
      </c>
      <c r="V231" s="201">
        <f t="shared" si="603"/>
        <v>257277308.50434002</v>
      </c>
      <c r="W231" s="201">
        <f t="shared" si="603"/>
        <v>257277308.50434002</v>
      </c>
      <c r="X231" s="201">
        <f t="shared" si="603"/>
        <v>257277308.50434002</v>
      </c>
      <c r="Y231" s="201">
        <f t="shared" si="603"/>
        <v>285435037.21581602</v>
      </c>
      <c r="Z231" s="201">
        <f t="shared" si="603"/>
        <v>331873036.75560004</v>
      </c>
      <c r="AA231" s="201">
        <f t="shared" si="603"/>
        <v>331873036.75560004</v>
      </c>
      <c r="AB231" s="201">
        <f t="shared" si="603"/>
        <v>331873036.75560004</v>
      </c>
      <c r="AC231" s="201">
        <f t="shared" si="603"/>
        <v>331873036.75560004</v>
      </c>
      <c r="AD231" s="201">
        <f t="shared" si="603"/>
        <v>331873036.75560004</v>
      </c>
      <c r="AE231" s="201">
        <f t="shared" si="603"/>
        <v>331873036.75560004</v>
      </c>
      <c r="AF231" s="201">
        <f t="shared" si="603"/>
        <v>331873036.75560004</v>
      </c>
      <c r="AG231" s="201">
        <f t="shared" si="603"/>
        <v>331873036.75560004</v>
      </c>
      <c r="AH231" s="201">
        <f t="shared" si="603"/>
        <v>331873036.75560004</v>
      </c>
      <c r="AI231" s="201">
        <f t="shared" si="603"/>
        <v>331873036.75560004</v>
      </c>
      <c r="AJ231" s="201">
        <f t="shared" si="603"/>
        <v>331873036.75560004</v>
      </c>
      <c r="AK231" s="201">
        <f t="shared" si="603"/>
        <v>331873036.75560004</v>
      </c>
      <c r="AL231" s="201">
        <f t="shared" si="603"/>
        <v>331873036.75560004</v>
      </c>
      <c r="AM231" s="201">
        <f t="shared" si="603"/>
        <v>331873036.75560004</v>
      </c>
      <c r="AN231" s="201">
        <f t="shared" si="603"/>
        <v>331873036.75560004</v>
      </c>
      <c r="AO231" s="201">
        <f t="shared" si="603"/>
        <v>331873036.75560004</v>
      </c>
      <c r="AP231" s="201">
        <f t="shared" si="603"/>
        <v>331873036.75560004</v>
      </c>
      <c r="AQ231" s="201">
        <f t="shared" si="603"/>
        <v>331873036.75560004</v>
      </c>
      <c r="AR231" s="201">
        <f t="shared" si="603"/>
        <v>331873036.75560004</v>
      </c>
      <c r="AS231" s="201">
        <f t="shared" si="603"/>
        <v>331873036.75560004</v>
      </c>
      <c r="AT231" s="201">
        <f t="shared" si="603"/>
        <v>331873036.75560004</v>
      </c>
      <c r="AU231" s="201">
        <f t="shared" si="603"/>
        <v>331873036.75560004</v>
      </c>
      <c r="AV231" s="201">
        <f t="shared" si="603"/>
        <v>331873036.75560004</v>
      </c>
      <c r="AW231" s="201">
        <f t="shared" si="603"/>
        <v>331873036.75560004</v>
      </c>
      <c r="AX231" s="201">
        <f t="shared" si="603"/>
        <v>331873036.75560004</v>
      </c>
      <c r="AY231" s="201">
        <f t="shared" si="603"/>
        <v>331873036.75560004</v>
      </c>
      <c r="AZ231" s="201">
        <f t="shared" si="603"/>
        <v>331873036.75560004</v>
      </c>
      <c r="BA231" s="201">
        <f t="shared" si="603"/>
        <v>331873036.75560004</v>
      </c>
      <c r="BB231" s="201">
        <f t="shared" si="603"/>
        <v>331873036.75560004</v>
      </c>
      <c r="BC231" s="201">
        <f t="shared" si="603"/>
        <v>331873036.75560004</v>
      </c>
      <c r="BD231" s="201">
        <f t="shared" si="603"/>
        <v>331873036.75560004</v>
      </c>
      <c r="BE231" s="201">
        <f t="shared" si="603"/>
        <v>331873036.75560004</v>
      </c>
      <c r="BF231" s="201">
        <f t="shared" si="603"/>
        <v>331873036.75560004</v>
      </c>
      <c r="BG231" s="201">
        <f t="shared" si="603"/>
        <v>331873036.75560004</v>
      </c>
      <c r="BH231" s="201">
        <f t="shared" si="603"/>
        <v>331873036.75560004</v>
      </c>
      <c r="BI231" s="201">
        <f t="shared" si="603"/>
        <v>331873036.75560004</v>
      </c>
    </row>
    <row r="232" spans="1:63" s="144" customFormat="1" ht="18" customHeight="1" x14ac:dyDescent="0.25">
      <c r="A232" s="370"/>
      <c r="B232" s="371"/>
      <c r="C232" s="374" t="s">
        <v>170</v>
      </c>
      <c r="D232" s="375"/>
      <c r="E232" s="375"/>
      <c r="F232" s="375"/>
      <c r="G232" s="376"/>
      <c r="H232" s="377"/>
      <c r="I232" s="377"/>
      <c r="J232" s="378"/>
      <c r="K232" s="378"/>
      <c r="L232" s="202">
        <f>L230/$I$230</f>
        <v>0</v>
      </c>
      <c r="M232" s="202">
        <f>M230/$I$230</f>
        <v>9.9817508479772651E-2</v>
      </c>
      <c r="N232" s="202">
        <f t="shared" ref="N232:BI232" si="604">N230/$I$230</f>
        <v>0.12531936016039791</v>
      </c>
      <c r="O232" s="202">
        <f t="shared" si="604"/>
        <v>0.14972626271965897</v>
      </c>
      <c r="P232" s="202">
        <f t="shared" si="604"/>
        <v>9.9817508479772651E-2</v>
      </c>
      <c r="Q232" s="202">
        <f t="shared" si="604"/>
        <v>4.9908754239886326E-2</v>
      </c>
      <c r="R232" s="202">
        <f t="shared" si="604"/>
        <v>5.0456228800568402E-2</v>
      </c>
      <c r="S232" s="202">
        <f t="shared" si="604"/>
        <v>0</v>
      </c>
      <c r="T232" s="202">
        <f t="shared" si="604"/>
        <v>0</v>
      </c>
      <c r="U232" s="202">
        <f t="shared" si="604"/>
        <v>5.9890505087863588E-2</v>
      </c>
      <c r="V232" s="202">
        <f t="shared" si="604"/>
        <v>0.14029198643236382</v>
      </c>
      <c r="W232" s="202">
        <f t="shared" si="604"/>
        <v>0</v>
      </c>
      <c r="X232" s="202">
        <f t="shared" si="604"/>
        <v>0</v>
      </c>
      <c r="Y232" s="202">
        <f t="shared" si="604"/>
        <v>8.4844882207806754E-2</v>
      </c>
      <c r="Z232" s="202">
        <f t="shared" si="604"/>
        <v>0.13992700339190908</v>
      </c>
      <c r="AA232" s="202">
        <f t="shared" si="604"/>
        <v>0</v>
      </c>
      <c r="AB232" s="202">
        <f t="shared" si="604"/>
        <v>0</v>
      </c>
      <c r="AC232" s="202">
        <f t="shared" si="604"/>
        <v>0</v>
      </c>
      <c r="AD232" s="202">
        <f t="shared" si="604"/>
        <v>0</v>
      </c>
      <c r="AE232" s="202">
        <f t="shared" si="604"/>
        <v>0</v>
      </c>
      <c r="AF232" s="202">
        <f t="shared" si="604"/>
        <v>0</v>
      </c>
      <c r="AG232" s="202">
        <f t="shared" si="604"/>
        <v>0</v>
      </c>
      <c r="AH232" s="202">
        <f t="shared" si="604"/>
        <v>0</v>
      </c>
      <c r="AI232" s="202">
        <f t="shared" si="604"/>
        <v>0</v>
      </c>
      <c r="AJ232" s="202">
        <f t="shared" si="604"/>
        <v>0</v>
      </c>
      <c r="AK232" s="202">
        <f t="shared" si="604"/>
        <v>0</v>
      </c>
      <c r="AL232" s="202">
        <f t="shared" si="604"/>
        <v>0</v>
      </c>
      <c r="AM232" s="202">
        <f t="shared" si="604"/>
        <v>0</v>
      </c>
      <c r="AN232" s="202">
        <f t="shared" si="604"/>
        <v>0</v>
      </c>
      <c r="AO232" s="202">
        <f t="shared" si="604"/>
        <v>0</v>
      </c>
      <c r="AP232" s="202">
        <f t="shared" si="604"/>
        <v>0</v>
      </c>
      <c r="AQ232" s="202">
        <f t="shared" si="604"/>
        <v>0</v>
      </c>
      <c r="AR232" s="202">
        <f t="shared" si="604"/>
        <v>0</v>
      </c>
      <c r="AS232" s="202">
        <f t="shared" si="604"/>
        <v>0</v>
      </c>
      <c r="AT232" s="202">
        <f t="shared" si="604"/>
        <v>0</v>
      </c>
      <c r="AU232" s="202">
        <f t="shared" si="604"/>
        <v>0</v>
      </c>
      <c r="AV232" s="202">
        <f t="shared" si="604"/>
        <v>0</v>
      </c>
      <c r="AW232" s="202">
        <f t="shared" si="604"/>
        <v>0</v>
      </c>
      <c r="AX232" s="202">
        <f t="shared" si="604"/>
        <v>0</v>
      </c>
      <c r="AY232" s="202">
        <f t="shared" si="604"/>
        <v>0</v>
      </c>
      <c r="AZ232" s="202">
        <f t="shared" si="604"/>
        <v>0</v>
      </c>
      <c r="BA232" s="202">
        <f t="shared" si="604"/>
        <v>0</v>
      </c>
      <c r="BB232" s="202">
        <f t="shared" si="604"/>
        <v>0</v>
      </c>
      <c r="BC232" s="202">
        <f t="shared" si="604"/>
        <v>0</v>
      </c>
      <c r="BD232" s="202">
        <f t="shared" si="604"/>
        <v>0</v>
      </c>
      <c r="BE232" s="202">
        <f t="shared" si="604"/>
        <v>0</v>
      </c>
      <c r="BF232" s="202">
        <f t="shared" si="604"/>
        <v>0</v>
      </c>
      <c r="BG232" s="202">
        <f t="shared" si="604"/>
        <v>0</v>
      </c>
      <c r="BH232" s="202">
        <f t="shared" si="604"/>
        <v>0</v>
      </c>
      <c r="BI232" s="202">
        <f t="shared" si="604"/>
        <v>0</v>
      </c>
    </row>
    <row r="233" spans="1:63" s="144" customFormat="1" ht="18" customHeight="1" x14ac:dyDescent="0.25">
      <c r="A233" s="372"/>
      <c r="B233" s="373"/>
      <c r="C233" s="374" t="s">
        <v>171</v>
      </c>
      <c r="D233" s="375"/>
      <c r="E233" s="375"/>
      <c r="F233" s="375"/>
      <c r="G233" s="376"/>
      <c r="H233" s="377"/>
      <c r="I233" s="377"/>
      <c r="J233" s="378"/>
      <c r="K233" s="378"/>
      <c r="L233" s="202">
        <f>L232</f>
        <v>0</v>
      </c>
      <c r="M233" s="202">
        <f t="shared" ref="M233" si="605">M232+L233</f>
        <v>9.9817508479772651E-2</v>
      </c>
      <c r="N233" s="202">
        <f t="shared" ref="N233" si="606">N232+M233</f>
        <v>0.22513686864017057</v>
      </c>
      <c r="O233" s="202">
        <f t="shared" ref="O233" si="607">O232+N233</f>
        <v>0.37486313135982952</v>
      </c>
      <c r="P233" s="202">
        <f t="shared" ref="P233" si="608">P232+O233</f>
        <v>0.47468063983960218</v>
      </c>
      <c r="Q233" s="202">
        <f t="shared" ref="Q233" si="609">Q232+P233</f>
        <v>0.52458939407948846</v>
      </c>
      <c r="R233" s="202">
        <f t="shared" ref="R233" si="610">R232+Q233</f>
        <v>0.57504562288005689</v>
      </c>
      <c r="S233" s="202">
        <f t="shared" ref="S233" si="611">S232+R233</f>
        <v>0.57504562288005689</v>
      </c>
      <c r="T233" s="202">
        <f t="shared" ref="T233" si="612">T232+S233</f>
        <v>0.57504562288005689</v>
      </c>
      <c r="U233" s="202">
        <f t="shared" ref="U233" si="613">U232+T233</f>
        <v>0.63493612796792043</v>
      </c>
      <c r="V233" s="202">
        <f t="shared" ref="V233" si="614">V232+U233</f>
        <v>0.77522811440028427</v>
      </c>
      <c r="W233" s="202">
        <f t="shared" ref="W233" si="615">W232+V233</f>
        <v>0.77522811440028427</v>
      </c>
      <c r="X233" s="202">
        <f t="shared" ref="X233" si="616">X232+W233</f>
        <v>0.77522811440028427</v>
      </c>
      <c r="Y233" s="202">
        <f t="shared" ref="Y233" si="617">Y232+X233</f>
        <v>0.860072996608091</v>
      </c>
      <c r="Z233" s="202">
        <f t="shared" ref="Z233" si="618">Z232+Y233</f>
        <v>1</v>
      </c>
      <c r="AA233" s="202">
        <f t="shared" ref="AA233" si="619">AA232+Z233</f>
        <v>1</v>
      </c>
      <c r="AB233" s="202">
        <f t="shared" ref="AB233" si="620">AB232+AA233</f>
        <v>1</v>
      </c>
      <c r="AC233" s="202">
        <f t="shared" ref="AC233" si="621">AC232+AB233</f>
        <v>1</v>
      </c>
      <c r="AD233" s="202">
        <f t="shared" ref="AD233" si="622">AD232+AC233</f>
        <v>1</v>
      </c>
      <c r="AE233" s="202">
        <f t="shared" ref="AE233" si="623">AE232+AD233</f>
        <v>1</v>
      </c>
      <c r="AF233" s="202">
        <f t="shared" ref="AF233" si="624">AF232+AE233</f>
        <v>1</v>
      </c>
      <c r="AG233" s="202">
        <f t="shared" ref="AG233" si="625">AG232+AF233</f>
        <v>1</v>
      </c>
      <c r="AH233" s="202">
        <f t="shared" ref="AH233" si="626">AH232+AG233</f>
        <v>1</v>
      </c>
      <c r="AI233" s="202">
        <f t="shared" ref="AI233" si="627">AI232+AH233</f>
        <v>1</v>
      </c>
      <c r="AJ233" s="202">
        <f t="shared" ref="AJ233" si="628">AJ232+AI233</f>
        <v>1</v>
      </c>
      <c r="AK233" s="202">
        <f t="shared" ref="AK233" si="629">AK232+AJ233</f>
        <v>1</v>
      </c>
      <c r="AL233" s="202">
        <f t="shared" ref="AL233" si="630">AL232+AK233</f>
        <v>1</v>
      </c>
      <c r="AM233" s="202">
        <f t="shared" ref="AM233" si="631">AM232+AL233</f>
        <v>1</v>
      </c>
      <c r="AN233" s="202">
        <f t="shared" ref="AN233" si="632">AN232+AM233</f>
        <v>1</v>
      </c>
      <c r="AO233" s="202">
        <f t="shared" ref="AO233" si="633">AO232+AN233</f>
        <v>1</v>
      </c>
      <c r="AP233" s="202">
        <f t="shared" ref="AP233" si="634">AP232+AO233</f>
        <v>1</v>
      </c>
      <c r="AQ233" s="202">
        <f t="shared" ref="AQ233" si="635">AQ232+AP233</f>
        <v>1</v>
      </c>
      <c r="AR233" s="202">
        <f t="shared" ref="AR233" si="636">AR232+AQ233</f>
        <v>1</v>
      </c>
      <c r="AS233" s="202">
        <f t="shared" ref="AS233" si="637">AS232+AR233</f>
        <v>1</v>
      </c>
      <c r="AT233" s="202">
        <f t="shared" ref="AT233" si="638">AT232+AS233</f>
        <v>1</v>
      </c>
      <c r="AU233" s="202">
        <f t="shared" ref="AU233" si="639">AU232+AT233</f>
        <v>1</v>
      </c>
      <c r="AV233" s="202">
        <f t="shared" ref="AV233" si="640">AV232+AU233</f>
        <v>1</v>
      </c>
      <c r="AW233" s="202">
        <f t="shared" ref="AW233" si="641">AW232+AV233</f>
        <v>1</v>
      </c>
      <c r="AX233" s="202">
        <f t="shared" ref="AX233" si="642">AX232+AW233</f>
        <v>1</v>
      </c>
      <c r="AY233" s="202">
        <f t="shared" ref="AY233" si="643">AY232+AX233</f>
        <v>1</v>
      </c>
      <c r="AZ233" s="202">
        <f t="shared" ref="AZ233" si="644">AZ232+AY233</f>
        <v>1</v>
      </c>
      <c r="BA233" s="202">
        <f t="shared" ref="BA233" si="645">BA232+AZ233</f>
        <v>1</v>
      </c>
      <c r="BB233" s="202">
        <f t="shared" ref="BB233" si="646">BB232+BA233</f>
        <v>1</v>
      </c>
      <c r="BC233" s="202">
        <f t="shared" ref="BC233" si="647">BC232+BB233</f>
        <v>1</v>
      </c>
      <c r="BD233" s="202">
        <f t="shared" ref="BD233" si="648">BD232+BC233</f>
        <v>1</v>
      </c>
      <c r="BE233" s="202">
        <f t="shared" ref="BE233" si="649">BE232+BD233</f>
        <v>1</v>
      </c>
      <c r="BF233" s="202">
        <f t="shared" ref="BF233" si="650">BF232+BE233</f>
        <v>1</v>
      </c>
      <c r="BG233" s="202">
        <f t="shared" ref="BG233" si="651">BG232+BF233</f>
        <v>1</v>
      </c>
      <c r="BH233" s="202">
        <f t="shared" ref="BH233" si="652">BH232+BG233</f>
        <v>1</v>
      </c>
      <c r="BI233" s="202">
        <f t="shared" ref="BI233" si="653">BI232+BH233</f>
        <v>1</v>
      </c>
    </row>
    <row r="234" spans="1:63" s="140" customFormat="1" ht="10.199999999999999" x14ac:dyDescent="0.25">
      <c r="I234" s="145"/>
      <c r="J234" s="145"/>
      <c r="K234" s="145"/>
      <c r="L234" s="146"/>
      <c r="M234" s="146"/>
      <c r="N234" s="146"/>
      <c r="O234" s="146"/>
      <c r="P234" s="146"/>
      <c r="Q234" s="146"/>
      <c r="R234" s="146"/>
      <c r="S234" s="146"/>
      <c r="T234" s="139"/>
      <c r="U234" s="139"/>
      <c r="V234" s="139"/>
      <c r="W234" s="139"/>
      <c r="X234" s="139"/>
      <c r="Y234" s="139"/>
      <c r="Z234" s="139"/>
      <c r="AA234" s="139"/>
      <c r="AB234" s="139"/>
      <c r="AC234" s="139"/>
      <c r="AD234" s="139"/>
      <c r="AE234" s="139"/>
      <c r="AF234" s="139"/>
      <c r="AG234" s="139"/>
      <c r="AH234" s="139"/>
      <c r="AI234" s="139"/>
      <c r="AJ234" s="139"/>
      <c r="AK234" s="139"/>
      <c r="AL234" s="139"/>
      <c r="AM234" s="139"/>
      <c r="AN234" s="139"/>
      <c r="AO234" s="139"/>
      <c r="AP234" s="139"/>
      <c r="AQ234" s="139"/>
      <c r="AR234" s="139"/>
      <c r="AS234" s="139"/>
      <c r="AT234" s="139"/>
      <c r="AU234" s="139"/>
      <c r="AV234" s="139"/>
      <c r="AW234" s="139"/>
      <c r="AX234" s="139"/>
      <c r="AY234" s="139"/>
      <c r="AZ234" s="139"/>
      <c r="BA234" s="139"/>
      <c r="BB234" s="139"/>
      <c r="BC234" s="139"/>
      <c r="BD234" s="139"/>
      <c r="BE234" s="139"/>
      <c r="BF234" s="139"/>
      <c r="BG234" s="139"/>
      <c r="BH234" s="139"/>
      <c r="BI234" s="139"/>
    </row>
    <row r="235" spans="1:63" s="140" customFormat="1" ht="10.199999999999999" x14ac:dyDescent="0.25">
      <c r="I235" s="145"/>
      <c r="J235" s="145"/>
      <c r="K235" s="145"/>
      <c r="L235" s="146"/>
      <c r="M235" s="146"/>
      <c r="N235" s="146"/>
      <c r="O235" s="146"/>
      <c r="P235" s="146"/>
      <c r="Q235" s="146"/>
      <c r="R235" s="146"/>
      <c r="S235" s="146"/>
      <c r="T235" s="139"/>
      <c r="U235" s="139"/>
      <c r="V235" s="139"/>
      <c r="W235" s="139"/>
      <c r="X235" s="139"/>
      <c r="Y235" s="139"/>
      <c r="Z235" s="139"/>
      <c r="AA235" s="139"/>
      <c r="AB235" s="139"/>
      <c r="AC235" s="139"/>
      <c r="AD235" s="139"/>
      <c r="AE235" s="139"/>
      <c r="AF235" s="139"/>
      <c r="AG235" s="139"/>
      <c r="AH235" s="139"/>
      <c r="AI235" s="139"/>
      <c r="AJ235" s="139"/>
      <c r="AK235" s="139"/>
      <c r="AL235" s="139"/>
      <c r="AM235" s="139"/>
      <c r="AN235" s="139"/>
      <c r="AO235" s="139"/>
      <c r="AP235" s="139"/>
      <c r="AQ235" s="139"/>
      <c r="AR235" s="139"/>
      <c r="AS235" s="139"/>
      <c r="AT235" s="139"/>
      <c r="AU235" s="139"/>
      <c r="AV235" s="139"/>
      <c r="AW235" s="139"/>
      <c r="AX235" s="139"/>
      <c r="AY235" s="139"/>
      <c r="AZ235" s="139"/>
      <c r="BA235" s="139"/>
      <c r="BB235" s="139"/>
      <c r="BC235" s="139"/>
      <c r="BD235" s="139"/>
      <c r="BE235" s="139"/>
      <c r="BF235" s="139"/>
      <c r="BG235" s="139"/>
      <c r="BH235" s="139"/>
      <c r="BI235" s="139"/>
    </row>
    <row r="236" spans="1:63" s="47" customFormat="1" ht="21.75" customHeight="1" x14ac:dyDescent="0.25">
      <c r="A236" s="155" t="s">
        <v>108</v>
      </c>
      <c r="B236" s="203" t="str">
        <f>Empreendimentos!A130</f>
        <v>AL'DORA NEXUS</v>
      </c>
      <c r="C236" s="156"/>
      <c r="D236" s="156"/>
      <c r="E236" s="157"/>
      <c r="F236" s="216">
        <f>SUM(F237,F239,F241,F243,F245,F247,F249,F251,F253,F255)</f>
        <v>220300.57977099999</v>
      </c>
      <c r="G236" s="216">
        <f>SUM(G237,G239,G241,G243,G245,G247,G249,G251,G253,G255)</f>
        <v>473641.30817593436</v>
      </c>
      <c r="H236" s="213">
        <f>SUM(H237,H239,H241,H243,H245,H247,H249,H251,H253,H255)</f>
        <v>2208437092.3940001</v>
      </c>
      <c r="I236" s="213">
        <f>SUM(I237,I239,I241,I243,I245,I247,I249,I251,I253,I255)</f>
        <v>1285727096.3592134</v>
      </c>
      <c r="J236" s="198">
        <f>H236/$H$258</f>
        <v>1</v>
      </c>
      <c r="K236" s="198">
        <f>I236/$I$263</f>
        <v>1</v>
      </c>
      <c r="L236" s="158"/>
      <c r="M236" s="159"/>
      <c r="N236" s="159"/>
      <c r="O236" s="159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  <c r="AA236" s="160"/>
      <c r="AB236" s="160"/>
      <c r="AC236" s="160"/>
      <c r="AD236" s="160"/>
      <c r="AE236" s="160"/>
      <c r="AF236" s="160"/>
      <c r="AG236" s="161"/>
      <c r="AH236" s="161"/>
      <c r="AI236" s="161"/>
      <c r="AJ236" s="161"/>
      <c r="AK236" s="161"/>
      <c r="AL236" s="161"/>
      <c r="AM236" s="161"/>
      <c r="AN236" s="161"/>
      <c r="AO236" s="161"/>
      <c r="AP236" s="161"/>
      <c r="AQ236" s="161"/>
      <c r="AR236" s="161"/>
      <c r="AS236" s="161"/>
      <c r="AT236" s="161"/>
      <c r="AU236" s="161"/>
      <c r="AV236" s="161"/>
      <c r="AW236" s="161"/>
      <c r="AX236" s="161"/>
      <c r="AY236" s="161"/>
      <c r="AZ236" s="161"/>
      <c r="BA236" s="161"/>
      <c r="BB236" s="161"/>
      <c r="BC236" s="161"/>
      <c r="BD236" s="161"/>
      <c r="BE236" s="161"/>
      <c r="BF236" s="161"/>
      <c r="BG236" s="161"/>
      <c r="BH236" s="161"/>
      <c r="BI236" s="162"/>
      <c r="BJ236" s="119">
        <f>SUM(L236:BI236)</f>
        <v>0</v>
      </c>
      <c r="BK236" s="33"/>
    </row>
    <row r="237" spans="1:63" ht="21.75" customHeight="1" x14ac:dyDescent="0.25">
      <c r="A237" s="193" t="str">
        <f>Empreendimentos!B131</f>
        <v>QAN01</v>
      </c>
      <c r="B237" s="154" t="str">
        <f>Empreendimentos!C131</f>
        <v>Corporativo</v>
      </c>
      <c r="C237" s="197" t="str">
        <f>$C$342</f>
        <v>Coorporativo</v>
      </c>
      <c r="D237" s="188">
        <f>Empreendimentos!L156</f>
        <v>0</v>
      </c>
      <c r="E237" s="189">
        <f>Empreendimentos!M156</f>
        <v>0</v>
      </c>
      <c r="F237" s="190">
        <f>Empreendimentos!H131</f>
        <v>33345.143040000003</v>
      </c>
      <c r="G237" s="190">
        <f>Empreendimentos!I131</f>
        <v>54664.168918032796</v>
      </c>
      <c r="H237" s="191">
        <f>F237*VLOOKUP(C237,$C$337:$E$351,2,FALSE)</f>
        <v>466832002.56000006</v>
      </c>
      <c r="I237" s="192">
        <f>G237*VLOOKUP(C237,$C$337:$E$351,3,FALSE)</f>
        <v>251455177.02295086</v>
      </c>
      <c r="J237" s="205">
        <f t="shared" ref="J237:J255" si="654">H237/$H$258</f>
        <v>0.21138569179434616</v>
      </c>
      <c r="K237" s="205">
        <f t="shared" ref="K237:K255" si="655">I237/$I$263</f>
        <v>0.19557430012558277</v>
      </c>
      <c r="L237" s="181"/>
      <c r="M237" s="182">
        <f>'Cronogramaa Fisico'!E45</f>
        <v>0</v>
      </c>
      <c r="N237" s="182">
        <f>'Cronogramaa Fisico'!F45</f>
        <v>0</v>
      </c>
      <c r="O237" s="182">
        <f>'Cronogramaa Fisico'!G45</f>
        <v>0</v>
      </c>
      <c r="P237" s="182">
        <f>'Cronogramaa Fisico'!H45</f>
        <v>0</v>
      </c>
      <c r="Q237" s="182">
        <f>'Cronogramaa Fisico'!I45</f>
        <v>0</v>
      </c>
      <c r="R237" s="182">
        <f>'Cronogramaa Fisico'!J45</f>
        <v>0</v>
      </c>
      <c r="S237" s="182">
        <f>'Cronogramaa Fisico'!K45</f>
        <v>0</v>
      </c>
      <c r="T237" s="182">
        <f>'Cronogramaa Fisico'!L45</f>
        <v>0</v>
      </c>
      <c r="U237" s="182">
        <f>'Cronogramaa Fisico'!M45</f>
        <v>0</v>
      </c>
      <c r="V237" s="182">
        <f>'Cronogramaa Fisico'!N45</f>
        <v>0</v>
      </c>
      <c r="W237" s="182">
        <f>'Cronogramaa Fisico'!O45</f>
        <v>0.02</v>
      </c>
      <c r="X237" s="182">
        <f>'Cronogramaa Fisico'!P45</f>
        <v>0.03</v>
      </c>
      <c r="Y237" s="182">
        <f>'Cronogramaa Fisico'!Q45</f>
        <v>0.03</v>
      </c>
      <c r="Z237" s="182">
        <f>'Cronogramaa Fisico'!R45</f>
        <v>0.03</v>
      </c>
      <c r="AA237" s="182">
        <f>'Cronogramaa Fisico'!S45</f>
        <v>0.03</v>
      </c>
      <c r="AB237" s="182">
        <f>'Cronogramaa Fisico'!T45</f>
        <v>0.04</v>
      </c>
      <c r="AC237" s="182">
        <f>'Cronogramaa Fisico'!U45</f>
        <v>0.04</v>
      </c>
      <c r="AD237" s="182">
        <f>'Cronogramaa Fisico'!V45</f>
        <v>0.04</v>
      </c>
      <c r="AE237" s="182">
        <f>'Cronogramaa Fisico'!W45</f>
        <v>0.04</v>
      </c>
      <c r="AF237" s="182">
        <f>'Cronogramaa Fisico'!X45</f>
        <v>0.04</v>
      </c>
      <c r="AG237" s="182">
        <f>'Cronogramaa Fisico'!Y45</f>
        <v>0.04</v>
      </c>
      <c r="AH237" s="182">
        <f>'Cronogramaa Fisico'!Z45</f>
        <v>0.04</v>
      </c>
      <c r="AI237" s="182">
        <f>'Cronogramaa Fisico'!AA45</f>
        <v>0.05</v>
      </c>
      <c r="AJ237" s="182">
        <f>'Cronogramaa Fisico'!AB45</f>
        <v>0.05</v>
      </c>
      <c r="AK237" s="182">
        <f>'Cronogramaa Fisico'!AC45</f>
        <v>0.03</v>
      </c>
      <c r="AL237" s="182">
        <f>'Cronogramaa Fisico'!AD45</f>
        <v>0.02</v>
      </c>
      <c r="AM237" s="182">
        <f>'Cronogramaa Fisico'!AE45</f>
        <v>0.02</v>
      </c>
      <c r="AN237" s="182">
        <f>'Cronogramaa Fisico'!AF45</f>
        <v>0.02</v>
      </c>
      <c r="AO237" s="182">
        <f>'Cronogramaa Fisico'!AG45</f>
        <v>0.22</v>
      </c>
      <c r="AP237" s="182">
        <f>'Cronogramaa Fisico'!AH45</f>
        <v>0.02</v>
      </c>
      <c r="AQ237" s="182">
        <f>'Cronogramaa Fisico'!AI45</f>
        <v>0.02</v>
      </c>
      <c r="AR237" s="182">
        <f>'Cronogramaa Fisico'!AJ45</f>
        <v>0.02</v>
      </c>
      <c r="AS237" s="182">
        <f>'Cronogramaa Fisico'!AK45</f>
        <v>0.02</v>
      </c>
      <c r="AT237" s="182">
        <f>'Cronogramaa Fisico'!AL45</f>
        <v>0.02</v>
      </c>
      <c r="AU237" s="182">
        <f>'Cronogramaa Fisico'!AM45</f>
        <v>0.01</v>
      </c>
      <c r="AV237" s="182">
        <f>'Cronogramaa Fisico'!AN45</f>
        <v>0.01</v>
      </c>
      <c r="AW237" s="182">
        <f>'Cronogramaa Fisico'!AO45</f>
        <v>0.01</v>
      </c>
      <c r="AX237" s="182">
        <f>'Cronogramaa Fisico'!AP45</f>
        <v>0.01</v>
      </c>
      <c r="AY237" s="182">
        <f>'Cronogramaa Fisico'!AQ45</f>
        <v>0.01</v>
      </c>
      <c r="AZ237" s="182">
        <f>'Cronogramaa Fisico'!AR45</f>
        <v>0.01</v>
      </c>
      <c r="BA237" s="182">
        <f>'Cronogramaa Fisico'!AS45</f>
        <v>0.01</v>
      </c>
      <c r="BB237" s="182">
        <f>'Cronogramaa Fisico'!AT45</f>
        <v>0</v>
      </c>
      <c r="BC237" s="182">
        <f>'Cronogramaa Fisico'!AU45</f>
        <v>0</v>
      </c>
      <c r="BD237" s="182">
        <f>'Cronogramaa Fisico'!AV45</f>
        <v>0</v>
      </c>
      <c r="BE237" s="182">
        <f>'Cronogramaa Fisico'!AW45</f>
        <v>0</v>
      </c>
      <c r="BF237" s="182">
        <f>'Cronogramaa Fisico'!AX45</f>
        <v>0</v>
      </c>
      <c r="BG237" s="182">
        <f>'Cronogramaa Fisico'!AY45</f>
        <v>0</v>
      </c>
      <c r="BH237" s="182">
        <f>'Cronogramaa Fisico'!AZ45</f>
        <v>0</v>
      </c>
      <c r="BI237" s="185"/>
      <c r="BJ237" s="119">
        <f>SUM(L237:BI237)</f>
        <v>1</v>
      </c>
      <c r="BK237" s="11"/>
    </row>
    <row r="238" spans="1:63" ht="9.6" customHeight="1" x14ac:dyDescent="0.25">
      <c r="A238" s="120"/>
      <c r="B238" s="219"/>
      <c r="C238" s="174"/>
      <c r="D238" s="148"/>
      <c r="E238" s="173"/>
      <c r="F238" s="149"/>
      <c r="G238" s="149"/>
      <c r="H238" s="179"/>
      <c r="I238" s="180"/>
      <c r="J238" s="204">
        <f t="shared" si="654"/>
        <v>0</v>
      </c>
      <c r="K238" s="204">
        <f t="shared" si="655"/>
        <v>0</v>
      </c>
      <c r="L238" s="123"/>
      <c r="M238" s="124"/>
      <c r="N238" s="124"/>
      <c r="O238" s="124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  <c r="AB238" s="125"/>
      <c r="AC238" s="125"/>
      <c r="AD238" s="125"/>
      <c r="AE238" s="125"/>
      <c r="AF238" s="125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126"/>
      <c r="AS238" s="126"/>
      <c r="AT238" s="126"/>
      <c r="AU238" s="126"/>
      <c r="AV238" s="126"/>
      <c r="AW238" s="126"/>
      <c r="AX238" s="126"/>
      <c r="AY238" s="126"/>
      <c r="AZ238" s="126"/>
      <c r="BA238" s="126"/>
      <c r="BB238" s="126"/>
      <c r="BC238" s="126"/>
      <c r="BD238" s="126"/>
      <c r="BE238" s="126"/>
      <c r="BF238" s="126"/>
      <c r="BG238" s="126"/>
      <c r="BH238" s="126"/>
      <c r="BI238" s="127"/>
      <c r="BJ238" s="119"/>
    </row>
    <row r="239" spans="1:63" ht="21.75" customHeight="1" x14ac:dyDescent="0.25">
      <c r="A239" s="193" t="str">
        <f>Empreendimentos!B133</f>
        <v>QAV02</v>
      </c>
      <c r="B239" s="154" t="str">
        <f>Empreendimentos!C133</f>
        <v xml:space="preserve"> Convenções</v>
      </c>
      <c r="C239" s="197" t="str">
        <f>$C$347</f>
        <v>Convenções</v>
      </c>
      <c r="D239" s="188"/>
      <c r="E239" s="189">
        <f>Empreendimentos!D158</f>
        <v>0</v>
      </c>
      <c r="F239" s="190">
        <f>Empreendimentos!H133</f>
        <v>7024.9830000000011</v>
      </c>
      <c r="G239" s="190">
        <f>Empreendimentos!I133</f>
        <v>8781.2287500000002</v>
      </c>
      <c r="H239" s="191">
        <f>F239*VLOOKUP(C239,$C$337:$E$351,2,FALSE)</f>
        <v>0</v>
      </c>
      <c r="I239" s="192">
        <f>G239*VLOOKUP(C239,$C$337:$E$351,3,FALSE)</f>
        <v>39515529.375</v>
      </c>
      <c r="J239" s="205">
        <f t="shared" si="654"/>
        <v>0</v>
      </c>
      <c r="K239" s="205">
        <f t="shared" si="655"/>
        <v>3.0733994396552673E-2</v>
      </c>
      <c r="L239" s="181"/>
      <c r="M239" s="182"/>
      <c r="N239" s="182"/>
      <c r="O239" s="182"/>
      <c r="P239" s="183"/>
      <c r="Q239" s="183"/>
      <c r="R239" s="183"/>
      <c r="S239" s="183"/>
      <c r="T239" s="183"/>
      <c r="U239" s="183"/>
      <c r="V239" s="183"/>
      <c r="W239" s="183">
        <v>0.25</v>
      </c>
      <c r="X239" s="183">
        <v>0.25</v>
      </c>
      <c r="Y239" s="183"/>
      <c r="Z239" s="183"/>
      <c r="AA239" s="183"/>
      <c r="AB239" s="183"/>
      <c r="AC239" s="183"/>
      <c r="AD239" s="183"/>
      <c r="AE239" s="183"/>
      <c r="AF239" s="183"/>
      <c r="AG239" s="184"/>
      <c r="AH239" s="184"/>
      <c r="AI239" s="184">
        <v>0.25</v>
      </c>
      <c r="AJ239" s="184">
        <v>0.25</v>
      </c>
      <c r="AK239" s="184"/>
      <c r="AL239" s="184"/>
      <c r="AM239" s="184"/>
      <c r="AN239" s="184"/>
      <c r="AO239" s="184"/>
      <c r="AP239" s="184"/>
      <c r="AQ239" s="184"/>
      <c r="AR239" s="184"/>
      <c r="AS239" s="184"/>
      <c r="AT239" s="184"/>
      <c r="AU239" s="184"/>
      <c r="AV239" s="184"/>
      <c r="AW239" s="184"/>
      <c r="AX239" s="184"/>
      <c r="AY239" s="184"/>
      <c r="AZ239" s="184"/>
      <c r="BA239" s="184"/>
      <c r="BB239" s="184"/>
      <c r="BC239" s="184"/>
      <c r="BD239" s="184"/>
      <c r="BE239" s="184"/>
      <c r="BF239" s="184"/>
      <c r="BG239" s="184"/>
      <c r="BH239" s="184"/>
      <c r="BI239" s="185"/>
      <c r="BJ239" s="119"/>
      <c r="BK239" s="11"/>
    </row>
    <row r="240" spans="1:63" ht="9.6" customHeight="1" x14ac:dyDescent="0.25">
      <c r="A240" s="120"/>
      <c r="B240" s="219"/>
      <c r="C240" s="174"/>
      <c r="D240" s="148"/>
      <c r="E240" s="173"/>
      <c r="F240" s="149"/>
      <c r="G240" s="149"/>
      <c r="H240" s="179"/>
      <c r="I240" s="180"/>
      <c r="J240" s="204">
        <f t="shared" si="654"/>
        <v>0</v>
      </c>
      <c r="K240" s="204">
        <f t="shared" si="655"/>
        <v>0</v>
      </c>
      <c r="L240" s="123"/>
      <c r="M240" s="124"/>
      <c r="N240" s="124"/>
      <c r="O240" s="128"/>
      <c r="P240" s="128"/>
      <c r="Q240" s="128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5"/>
      <c r="AE240" s="125"/>
      <c r="AF240" s="125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126"/>
      <c r="AS240" s="126"/>
      <c r="AT240" s="126"/>
      <c r="AU240" s="126"/>
      <c r="AV240" s="126"/>
      <c r="AW240" s="126"/>
      <c r="AX240" s="126"/>
      <c r="AY240" s="126"/>
      <c r="AZ240" s="126"/>
      <c r="BA240" s="126"/>
      <c r="BB240" s="126"/>
      <c r="BC240" s="126"/>
      <c r="BD240" s="126"/>
      <c r="BE240" s="126"/>
      <c r="BF240" s="126"/>
      <c r="BG240" s="126"/>
      <c r="BH240" s="126"/>
      <c r="BI240" s="127"/>
      <c r="BJ240" s="119"/>
    </row>
    <row r="241" spans="1:63" ht="21.75" customHeight="1" x14ac:dyDescent="0.25">
      <c r="A241" s="193" t="str">
        <f>Empreendimentos!B135</f>
        <v>QAV03</v>
      </c>
      <c r="B241" s="154" t="str">
        <f>Empreendimentos!C135</f>
        <v>Área publica</v>
      </c>
      <c r="C241" s="197" t="str">
        <f>$C$351</f>
        <v>Parque</v>
      </c>
      <c r="D241" s="188">
        <f>Empreendimentos!L160</f>
        <v>0</v>
      </c>
      <c r="E241" s="189">
        <f>Empreendimentos!M160</f>
        <v>0</v>
      </c>
      <c r="F241" s="190">
        <f>Empreendimentos!H135</f>
        <v>0</v>
      </c>
      <c r="G241" s="190">
        <f>Empreendimentos!D135</f>
        <v>5435.83</v>
      </c>
      <c r="H241" s="191">
        <f>F241*VLOOKUP(C241,$C$337:$E$351,2,FALSE)</f>
        <v>0</v>
      </c>
      <c r="I241" s="192">
        <f>G241*VLOOKUP(C241,$C$337:$E$351,3,FALSE)</f>
        <v>869732.8</v>
      </c>
      <c r="J241" s="205">
        <f t="shared" si="654"/>
        <v>0</v>
      </c>
      <c r="K241" s="205">
        <f t="shared" si="655"/>
        <v>6.7645210438732899E-4</v>
      </c>
      <c r="L241" s="181"/>
      <c r="M241" s="182"/>
      <c r="N241" s="182"/>
      <c r="O241" s="182"/>
      <c r="P241" s="183"/>
      <c r="Q241" s="183"/>
      <c r="R241" s="183"/>
      <c r="S241" s="183"/>
      <c r="T241" s="183"/>
      <c r="U241" s="183"/>
      <c r="V241" s="183">
        <v>0.5</v>
      </c>
      <c r="W241" s="183"/>
      <c r="X241" s="183"/>
      <c r="Y241" s="183"/>
      <c r="Z241" s="183"/>
      <c r="AA241" s="183">
        <v>0.5</v>
      </c>
      <c r="AB241" s="183"/>
      <c r="AC241" s="183"/>
      <c r="AD241" s="183"/>
      <c r="AE241" s="183"/>
      <c r="AF241" s="183"/>
      <c r="AG241" s="184"/>
      <c r="AH241" s="184"/>
      <c r="AI241" s="184"/>
      <c r="AJ241" s="184"/>
      <c r="AK241" s="184"/>
      <c r="AL241" s="184"/>
      <c r="AM241" s="184"/>
      <c r="AN241" s="184"/>
      <c r="AO241" s="184"/>
      <c r="AP241" s="184"/>
      <c r="AQ241" s="184"/>
      <c r="AR241" s="184"/>
      <c r="AS241" s="184"/>
      <c r="AT241" s="184"/>
      <c r="AU241" s="184"/>
      <c r="AV241" s="184"/>
      <c r="AW241" s="184"/>
      <c r="AX241" s="184"/>
      <c r="AY241" s="184"/>
      <c r="AZ241" s="184"/>
      <c r="BA241" s="184"/>
      <c r="BB241" s="184"/>
      <c r="BC241" s="184"/>
      <c r="BD241" s="184"/>
      <c r="BE241" s="184"/>
      <c r="BF241" s="184"/>
      <c r="BG241" s="184"/>
      <c r="BH241" s="184"/>
      <c r="BI241" s="185"/>
      <c r="BJ241" s="119"/>
      <c r="BK241" s="11"/>
    </row>
    <row r="242" spans="1:63" ht="9.6" customHeight="1" x14ac:dyDescent="0.25">
      <c r="A242" s="120"/>
      <c r="B242" s="219"/>
      <c r="C242" s="174"/>
      <c r="D242" s="148"/>
      <c r="E242" s="173"/>
      <c r="F242" s="149"/>
      <c r="G242" s="149"/>
      <c r="H242" s="179"/>
      <c r="I242" s="180"/>
      <c r="J242" s="204">
        <f t="shared" si="654"/>
        <v>0</v>
      </c>
      <c r="K242" s="204">
        <f t="shared" si="655"/>
        <v>0</v>
      </c>
      <c r="L242" s="123"/>
      <c r="M242" s="124"/>
      <c r="N242" s="124"/>
      <c r="O242" s="128"/>
      <c r="P242" s="128"/>
      <c r="Q242" s="128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5"/>
      <c r="AE242" s="125"/>
      <c r="AF242" s="125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126"/>
      <c r="AS242" s="126"/>
      <c r="AT242" s="126"/>
      <c r="AU242" s="126"/>
      <c r="AV242" s="126"/>
      <c r="AW242" s="126"/>
      <c r="AX242" s="126"/>
      <c r="AY242" s="126"/>
      <c r="AZ242" s="126"/>
      <c r="BA242" s="126"/>
      <c r="BB242" s="126"/>
      <c r="BC242" s="126"/>
      <c r="BD242" s="126"/>
      <c r="BE242" s="126"/>
      <c r="BF242" s="126"/>
      <c r="BG242" s="126"/>
      <c r="BH242" s="126"/>
      <c r="BI242" s="127"/>
      <c r="BJ242" s="119"/>
    </row>
    <row r="243" spans="1:63" ht="21.75" customHeight="1" x14ac:dyDescent="0.25">
      <c r="A243" s="193" t="str">
        <f>Empreendimentos!B137</f>
        <v>QAV04</v>
      </c>
      <c r="B243" s="154" t="str">
        <f>Empreendimentos!C137</f>
        <v>Resid. / Corporativo / fachada ativa</v>
      </c>
      <c r="C243" s="197" t="str">
        <f>$C$339</f>
        <v>Médio</v>
      </c>
      <c r="D243" s="188">
        <f>Empreendimentos!L162</f>
        <v>0</v>
      </c>
      <c r="E243" s="189">
        <f>Empreendimentos!M162</f>
        <v>0</v>
      </c>
      <c r="F243" s="190">
        <f>Empreendimentos!H137</f>
        <v>82709.343999999997</v>
      </c>
      <c r="G243" s="190">
        <f>Empreendimentos!I137</f>
        <v>135589.08852459016</v>
      </c>
      <c r="H243" s="191">
        <f>F243*VLOOKUP(C243,$C$337:$E$351,2,FALSE)</f>
        <v>744384096</v>
      </c>
      <c r="I243" s="192">
        <f>G243*VLOOKUP(C243,$C$337:$E$351,3,FALSE)</f>
        <v>409432743.67053109</v>
      </c>
      <c r="J243" s="205">
        <f t="shared" si="654"/>
        <v>0.33706375362182917</v>
      </c>
      <c r="K243" s="205">
        <f t="shared" si="655"/>
        <v>0.31844451659292211</v>
      </c>
      <c r="L243" s="181"/>
      <c r="M243" s="182">
        <f>M237</f>
        <v>0</v>
      </c>
      <c r="N243" s="182">
        <f t="shared" ref="N243:BH243" si="656">N237</f>
        <v>0</v>
      </c>
      <c r="O243" s="182">
        <f t="shared" si="656"/>
        <v>0</v>
      </c>
      <c r="P243" s="182">
        <f t="shared" si="656"/>
        <v>0</v>
      </c>
      <c r="Q243" s="182">
        <f t="shared" si="656"/>
        <v>0</v>
      </c>
      <c r="R243" s="182">
        <f t="shared" si="656"/>
        <v>0</v>
      </c>
      <c r="S243" s="182">
        <f t="shared" si="656"/>
        <v>0</v>
      </c>
      <c r="T243" s="182">
        <f t="shared" si="656"/>
        <v>0</v>
      </c>
      <c r="U243" s="182">
        <f t="shared" si="656"/>
        <v>0</v>
      </c>
      <c r="V243" s="182">
        <f t="shared" si="656"/>
        <v>0</v>
      </c>
      <c r="W243" s="182">
        <f t="shared" si="656"/>
        <v>0.02</v>
      </c>
      <c r="X243" s="182">
        <f t="shared" si="656"/>
        <v>0.03</v>
      </c>
      <c r="Y243" s="182">
        <f t="shared" si="656"/>
        <v>0.03</v>
      </c>
      <c r="Z243" s="182">
        <f t="shared" si="656"/>
        <v>0.03</v>
      </c>
      <c r="AA243" s="182">
        <f t="shared" si="656"/>
        <v>0.03</v>
      </c>
      <c r="AB243" s="182">
        <f t="shared" si="656"/>
        <v>0.04</v>
      </c>
      <c r="AC243" s="182">
        <f t="shared" si="656"/>
        <v>0.04</v>
      </c>
      <c r="AD243" s="182">
        <f t="shared" si="656"/>
        <v>0.04</v>
      </c>
      <c r="AE243" s="182">
        <f t="shared" si="656"/>
        <v>0.04</v>
      </c>
      <c r="AF243" s="182">
        <f t="shared" si="656"/>
        <v>0.04</v>
      </c>
      <c r="AG243" s="182">
        <f t="shared" si="656"/>
        <v>0.04</v>
      </c>
      <c r="AH243" s="182">
        <f t="shared" si="656"/>
        <v>0.04</v>
      </c>
      <c r="AI243" s="182">
        <f t="shared" si="656"/>
        <v>0.05</v>
      </c>
      <c r="AJ243" s="182">
        <f t="shared" si="656"/>
        <v>0.05</v>
      </c>
      <c r="AK243" s="182">
        <f t="shared" si="656"/>
        <v>0.03</v>
      </c>
      <c r="AL243" s="182">
        <f t="shared" si="656"/>
        <v>0.02</v>
      </c>
      <c r="AM243" s="182">
        <f t="shared" si="656"/>
        <v>0.02</v>
      </c>
      <c r="AN243" s="182">
        <f t="shared" si="656"/>
        <v>0.02</v>
      </c>
      <c r="AO243" s="182">
        <f t="shared" si="656"/>
        <v>0.22</v>
      </c>
      <c r="AP243" s="182">
        <f t="shared" si="656"/>
        <v>0.02</v>
      </c>
      <c r="AQ243" s="182">
        <f t="shared" si="656"/>
        <v>0.02</v>
      </c>
      <c r="AR243" s="182">
        <f t="shared" si="656"/>
        <v>0.02</v>
      </c>
      <c r="AS243" s="182">
        <f t="shared" si="656"/>
        <v>0.02</v>
      </c>
      <c r="AT243" s="182">
        <f t="shared" si="656"/>
        <v>0.02</v>
      </c>
      <c r="AU243" s="182">
        <f t="shared" si="656"/>
        <v>0.01</v>
      </c>
      <c r="AV243" s="182">
        <f t="shared" si="656"/>
        <v>0.01</v>
      </c>
      <c r="AW243" s="182">
        <f t="shared" si="656"/>
        <v>0.01</v>
      </c>
      <c r="AX243" s="182">
        <f t="shared" si="656"/>
        <v>0.01</v>
      </c>
      <c r="AY243" s="182">
        <f t="shared" si="656"/>
        <v>0.01</v>
      </c>
      <c r="AZ243" s="182">
        <f t="shared" si="656"/>
        <v>0.01</v>
      </c>
      <c r="BA243" s="182">
        <f t="shared" si="656"/>
        <v>0.01</v>
      </c>
      <c r="BB243" s="182">
        <f t="shared" si="656"/>
        <v>0</v>
      </c>
      <c r="BC243" s="182">
        <f t="shared" si="656"/>
        <v>0</v>
      </c>
      <c r="BD243" s="182">
        <f t="shared" si="656"/>
        <v>0</v>
      </c>
      <c r="BE243" s="182">
        <f t="shared" si="656"/>
        <v>0</v>
      </c>
      <c r="BF243" s="182">
        <f t="shared" si="656"/>
        <v>0</v>
      </c>
      <c r="BG243" s="182">
        <f t="shared" si="656"/>
        <v>0</v>
      </c>
      <c r="BH243" s="182">
        <f t="shared" si="656"/>
        <v>0</v>
      </c>
      <c r="BI243" s="185"/>
      <c r="BJ243" s="119"/>
      <c r="BK243" s="11"/>
    </row>
    <row r="244" spans="1:63" ht="9.6" customHeight="1" x14ac:dyDescent="0.25">
      <c r="A244" s="120"/>
      <c r="B244" s="219"/>
      <c r="C244" s="174"/>
      <c r="D244" s="148"/>
      <c r="E244" s="173"/>
      <c r="F244" s="149"/>
      <c r="G244" s="149"/>
      <c r="H244" s="179"/>
      <c r="I244" s="180"/>
      <c r="J244" s="204">
        <f t="shared" si="654"/>
        <v>0</v>
      </c>
      <c r="K244" s="204">
        <f t="shared" si="655"/>
        <v>0</v>
      </c>
      <c r="L244" s="123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  <c r="AC244" s="124"/>
      <c r="AD244" s="124"/>
      <c r="AE244" s="124"/>
      <c r="AF244" s="124"/>
      <c r="AG244" s="124"/>
      <c r="AH244" s="124"/>
      <c r="AI244" s="124"/>
      <c r="AJ244" s="124"/>
      <c r="AK244" s="124"/>
      <c r="AL244" s="124"/>
      <c r="AM244" s="124"/>
      <c r="AN244" s="124"/>
      <c r="AO244" s="124"/>
      <c r="AP244" s="124"/>
      <c r="AQ244" s="124"/>
      <c r="AR244" s="124"/>
      <c r="AS244" s="124"/>
      <c r="AT244" s="124"/>
      <c r="AU244" s="124"/>
      <c r="AV244" s="124"/>
      <c r="AW244" s="124"/>
      <c r="AX244" s="124"/>
      <c r="AY244" s="124"/>
      <c r="AZ244" s="124"/>
      <c r="BA244" s="124"/>
      <c r="BB244" s="124"/>
      <c r="BC244" s="124"/>
      <c r="BD244" s="124"/>
      <c r="BE244" s="124"/>
      <c r="BF244" s="124"/>
      <c r="BG244" s="124"/>
      <c r="BH244" s="124"/>
      <c r="BI244" s="127"/>
      <c r="BJ244" s="119"/>
    </row>
    <row r="245" spans="1:63" ht="21.75" customHeight="1" x14ac:dyDescent="0.25">
      <c r="A245" s="193" t="str">
        <f>Empreendimentos!B139</f>
        <v>QAV05</v>
      </c>
      <c r="B245" s="154" t="str">
        <f>Empreendimentos!C139</f>
        <v>Resid. / Corporativo / fachada ativa</v>
      </c>
      <c r="C245" s="197" t="str">
        <f>$C$339</f>
        <v>Médio</v>
      </c>
      <c r="D245" s="188">
        <f>Empreendimentos!L164</f>
        <v>0</v>
      </c>
      <c r="E245" s="189">
        <f>Empreendimentos!M164</f>
        <v>0</v>
      </c>
      <c r="F245" s="190">
        <f>Empreendimentos!H139</f>
        <v>41161.237760000004</v>
      </c>
      <c r="G245" s="190">
        <f>Empreendimentos!I139</f>
        <v>67477.438950819676</v>
      </c>
      <c r="H245" s="191">
        <f>F245*VLOOKUP(C245,$C$337:$E$351,2,FALSE)</f>
        <v>370451139.84000003</v>
      </c>
      <c r="I245" s="192">
        <f>G245*VLOOKUP(C245,$C$337:$E$351,3,FALSE)</f>
        <v>203758822.0860737</v>
      </c>
      <c r="J245" s="205">
        <f t="shared" si="654"/>
        <v>0.16774357807874976</v>
      </c>
      <c r="K245" s="205">
        <f t="shared" si="655"/>
        <v>0.15847750480102385</v>
      </c>
      <c r="L245" s="181"/>
      <c r="M245" s="182">
        <f>M237</f>
        <v>0</v>
      </c>
      <c r="N245" s="182">
        <f t="shared" ref="N245:BH245" si="657">N237</f>
        <v>0</v>
      </c>
      <c r="O245" s="182">
        <f t="shared" si="657"/>
        <v>0</v>
      </c>
      <c r="P245" s="182">
        <f t="shared" si="657"/>
        <v>0</v>
      </c>
      <c r="Q245" s="182">
        <f t="shared" si="657"/>
        <v>0</v>
      </c>
      <c r="R245" s="182">
        <f t="shared" si="657"/>
        <v>0</v>
      </c>
      <c r="S245" s="182">
        <f t="shared" si="657"/>
        <v>0</v>
      </c>
      <c r="T245" s="182">
        <f t="shared" si="657"/>
        <v>0</v>
      </c>
      <c r="U245" s="182">
        <f t="shared" si="657"/>
        <v>0</v>
      </c>
      <c r="V245" s="182">
        <f t="shared" si="657"/>
        <v>0</v>
      </c>
      <c r="W245" s="182">
        <f t="shared" si="657"/>
        <v>0.02</v>
      </c>
      <c r="X245" s="182">
        <f t="shared" si="657"/>
        <v>0.03</v>
      </c>
      <c r="Y245" s="182">
        <f t="shared" si="657"/>
        <v>0.03</v>
      </c>
      <c r="Z245" s="182">
        <f t="shared" si="657"/>
        <v>0.03</v>
      </c>
      <c r="AA245" s="182">
        <f t="shared" si="657"/>
        <v>0.03</v>
      </c>
      <c r="AB245" s="182">
        <f t="shared" si="657"/>
        <v>0.04</v>
      </c>
      <c r="AC245" s="182">
        <f t="shared" si="657"/>
        <v>0.04</v>
      </c>
      <c r="AD245" s="182">
        <f t="shared" si="657"/>
        <v>0.04</v>
      </c>
      <c r="AE245" s="182">
        <f t="shared" si="657"/>
        <v>0.04</v>
      </c>
      <c r="AF245" s="182">
        <f t="shared" si="657"/>
        <v>0.04</v>
      </c>
      <c r="AG245" s="182">
        <f t="shared" si="657"/>
        <v>0.04</v>
      </c>
      <c r="AH245" s="182">
        <f t="shared" si="657"/>
        <v>0.04</v>
      </c>
      <c r="AI245" s="182">
        <f t="shared" si="657"/>
        <v>0.05</v>
      </c>
      <c r="AJ245" s="182">
        <f t="shared" si="657"/>
        <v>0.05</v>
      </c>
      <c r="AK245" s="182">
        <f t="shared" si="657"/>
        <v>0.03</v>
      </c>
      <c r="AL245" s="182">
        <f t="shared" si="657"/>
        <v>0.02</v>
      </c>
      <c r="AM245" s="182">
        <f t="shared" si="657"/>
        <v>0.02</v>
      </c>
      <c r="AN245" s="182">
        <f t="shared" si="657"/>
        <v>0.02</v>
      </c>
      <c r="AO245" s="182">
        <f t="shared" si="657"/>
        <v>0.22</v>
      </c>
      <c r="AP245" s="182">
        <f t="shared" si="657"/>
        <v>0.02</v>
      </c>
      <c r="AQ245" s="182">
        <f t="shared" si="657"/>
        <v>0.02</v>
      </c>
      <c r="AR245" s="182">
        <f t="shared" si="657"/>
        <v>0.02</v>
      </c>
      <c r="AS245" s="182">
        <f t="shared" si="657"/>
        <v>0.02</v>
      </c>
      <c r="AT245" s="182">
        <f t="shared" si="657"/>
        <v>0.02</v>
      </c>
      <c r="AU245" s="182">
        <f t="shared" si="657"/>
        <v>0.01</v>
      </c>
      <c r="AV245" s="182">
        <f t="shared" si="657"/>
        <v>0.01</v>
      </c>
      <c r="AW245" s="182">
        <f t="shared" si="657"/>
        <v>0.01</v>
      </c>
      <c r="AX245" s="182">
        <f t="shared" si="657"/>
        <v>0.01</v>
      </c>
      <c r="AY245" s="182">
        <f t="shared" si="657"/>
        <v>0.01</v>
      </c>
      <c r="AZ245" s="182">
        <f t="shared" si="657"/>
        <v>0.01</v>
      </c>
      <c r="BA245" s="182">
        <f t="shared" si="657"/>
        <v>0.01</v>
      </c>
      <c r="BB245" s="182">
        <f t="shared" si="657"/>
        <v>0</v>
      </c>
      <c r="BC245" s="182">
        <f t="shared" si="657"/>
        <v>0</v>
      </c>
      <c r="BD245" s="182">
        <f t="shared" si="657"/>
        <v>0</v>
      </c>
      <c r="BE245" s="182">
        <f t="shared" si="657"/>
        <v>0</v>
      </c>
      <c r="BF245" s="182">
        <f t="shared" si="657"/>
        <v>0</v>
      </c>
      <c r="BG245" s="182">
        <f t="shared" si="657"/>
        <v>0</v>
      </c>
      <c r="BH245" s="182">
        <f t="shared" si="657"/>
        <v>0</v>
      </c>
      <c r="BI245" s="185"/>
      <c r="BJ245" s="119"/>
      <c r="BK245" s="11"/>
    </row>
    <row r="246" spans="1:63" ht="9.6" customHeight="1" x14ac:dyDescent="0.25">
      <c r="A246" s="120"/>
      <c r="B246" s="219"/>
      <c r="C246" s="174"/>
      <c r="D246" s="148"/>
      <c r="E246" s="173"/>
      <c r="F246" s="149"/>
      <c r="G246" s="149"/>
      <c r="H246" s="179"/>
      <c r="I246" s="180"/>
      <c r="J246" s="204">
        <f t="shared" si="654"/>
        <v>0</v>
      </c>
      <c r="K246" s="204">
        <f t="shared" si="655"/>
        <v>0</v>
      </c>
      <c r="L246" s="123"/>
      <c r="M246" s="124"/>
      <c r="N246" s="124"/>
      <c r="O246" s="128"/>
      <c r="P246" s="128"/>
      <c r="Q246" s="128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5"/>
      <c r="AE246" s="125"/>
      <c r="AF246" s="125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126"/>
      <c r="AS246" s="126"/>
      <c r="AT246" s="126"/>
      <c r="AU246" s="126"/>
      <c r="AV246" s="126"/>
      <c r="AW246" s="126"/>
      <c r="AX246" s="126"/>
      <c r="AY246" s="126"/>
      <c r="AZ246" s="126"/>
      <c r="BA246" s="126"/>
      <c r="BB246" s="126"/>
      <c r="BC246" s="126"/>
      <c r="BD246" s="126"/>
      <c r="BE246" s="126"/>
      <c r="BF246" s="126"/>
      <c r="BG246" s="126"/>
      <c r="BH246" s="126"/>
      <c r="BI246" s="127"/>
      <c r="BJ246" s="119"/>
    </row>
    <row r="247" spans="1:63" ht="21.75" customHeight="1" x14ac:dyDescent="0.25">
      <c r="A247" s="193" t="str">
        <f>Empreendimentos!B141</f>
        <v>QAV06</v>
      </c>
      <c r="B247" s="154" t="str">
        <f>Empreendimentos!C141</f>
        <v>Área publica</v>
      </c>
      <c r="C247" s="197" t="str">
        <f>$C$351</f>
        <v>Parque</v>
      </c>
      <c r="D247" s="188">
        <f>Empreendimentos!L166</f>
        <v>0</v>
      </c>
      <c r="E247" s="189">
        <f>Empreendimentos!M166</f>
        <v>0</v>
      </c>
      <c r="F247" s="190">
        <f>Empreendimentos!H141</f>
        <v>0</v>
      </c>
      <c r="G247" s="190">
        <f>Empreendimentos!D141</f>
        <v>4559.0002000000004</v>
      </c>
      <c r="H247" s="191">
        <f>F247*VLOOKUP(C247,$C$337:$E$351,2,FALSE)</f>
        <v>0</v>
      </c>
      <c r="I247" s="192">
        <f>G247*VLOOKUP(C247,$C$337:$E$351,3,FALSE)</f>
        <v>729440.03200000012</v>
      </c>
      <c r="J247" s="205">
        <f t="shared" si="654"/>
        <v>0</v>
      </c>
      <c r="K247" s="205">
        <f t="shared" si="655"/>
        <v>5.6733659426292846E-4</v>
      </c>
      <c r="L247" s="181"/>
      <c r="M247" s="182"/>
      <c r="N247" s="182"/>
      <c r="O247" s="182"/>
      <c r="P247" s="183"/>
      <c r="Q247" s="183"/>
      <c r="R247" s="183"/>
      <c r="S247" s="183"/>
      <c r="T247" s="183"/>
      <c r="U247" s="183"/>
      <c r="V247" s="183">
        <f>V241</f>
        <v>0.5</v>
      </c>
      <c r="W247" s="183">
        <f t="shared" ref="W247:AB247" si="658">W241</f>
        <v>0</v>
      </c>
      <c r="X247" s="183">
        <f t="shared" si="658"/>
        <v>0</v>
      </c>
      <c r="Y247" s="183">
        <f t="shared" si="658"/>
        <v>0</v>
      </c>
      <c r="Z247" s="183">
        <f t="shared" si="658"/>
        <v>0</v>
      </c>
      <c r="AA247" s="183">
        <f t="shared" si="658"/>
        <v>0.5</v>
      </c>
      <c r="AB247" s="183">
        <f t="shared" si="658"/>
        <v>0</v>
      </c>
      <c r="AC247" s="183"/>
      <c r="AD247" s="183"/>
      <c r="AE247" s="183"/>
      <c r="AF247" s="183"/>
      <c r="AG247" s="184"/>
      <c r="AH247" s="184"/>
      <c r="AI247" s="184"/>
      <c r="AJ247" s="184"/>
      <c r="AK247" s="184"/>
      <c r="AL247" s="184"/>
      <c r="AM247" s="184"/>
      <c r="AN247" s="184"/>
      <c r="AO247" s="184"/>
      <c r="AP247" s="184"/>
      <c r="AQ247" s="184"/>
      <c r="AR247" s="184"/>
      <c r="AS247" s="184"/>
      <c r="AT247" s="184"/>
      <c r="AU247" s="184"/>
      <c r="AV247" s="184"/>
      <c r="AW247" s="184"/>
      <c r="AX247" s="184"/>
      <c r="AY247" s="184"/>
      <c r="AZ247" s="184"/>
      <c r="BA247" s="184"/>
      <c r="BB247" s="184"/>
      <c r="BC247" s="184"/>
      <c r="BD247" s="184"/>
      <c r="BE247" s="184"/>
      <c r="BF247" s="184"/>
      <c r="BG247" s="184"/>
      <c r="BH247" s="184"/>
      <c r="BI247" s="185"/>
      <c r="BJ247" s="119"/>
      <c r="BK247" s="11"/>
    </row>
    <row r="248" spans="1:63" ht="9.6" customHeight="1" x14ac:dyDescent="0.25">
      <c r="A248" s="120"/>
      <c r="B248" s="219"/>
      <c r="C248" s="174"/>
      <c r="D248" s="148"/>
      <c r="E248" s="173"/>
      <c r="F248" s="149"/>
      <c r="G248" s="149"/>
      <c r="H248" s="179"/>
      <c r="I248" s="180"/>
      <c r="J248" s="204">
        <f t="shared" si="654"/>
        <v>0</v>
      </c>
      <c r="K248" s="204">
        <f t="shared" si="655"/>
        <v>0</v>
      </c>
      <c r="L248" s="123"/>
      <c r="M248" s="124"/>
      <c r="N248" s="124"/>
      <c r="O248" s="128"/>
      <c r="P248" s="128"/>
      <c r="Q248" s="128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  <c r="AD248" s="125"/>
      <c r="AE248" s="125"/>
      <c r="AF248" s="125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126"/>
      <c r="AS248" s="126"/>
      <c r="AT248" s="126"/>
      <c r="AU248" s="126"/>
      <c r="AV248" s="126"/>
      <c r="AW248" s="126"/>
      <c r="AX248" s="126"/>
      <c r="AY248" s="126"/>
      <c r="AZ248" s="126"/>
      <c r="BA248" s="126"/>
      <c r="BB248" s="126"/>
      <c r="BC248" s="126"/>
      <c r="BD248" s="126"/>
      <c r="BE248" s="126"/>
      <c r="BF248" s="126"/>
      <c r="BG248" s="126"/>
      <c r="BH248" s="126"/>
      <c r="BI248" s="127"/>
      <c r="BJ248" s="119"/>
    </row>
    <row r="249" spans="1:63" ht="21.75" customHeight="1" x14ac:dyDescent="0.25">
      <c r="A249" s="193" t="str">
        <f>Empreendimentos!B143</f>
        <v>QAV07</v>
      </c>
      <c r="B249" s="154" t="str">
        <f>Empreendimentos!C143</f>
        <v>Resid. / Corporativo / fachada ativa</v>
      </c>
      <c r="C249" s="197" t="str">
        <f>$C$339</f>
        <v>Médio</v>
      </c>
      <c r="D249" s="188">
        <f>Empreendimentos!L168</f>
        <v>0</v>
      </c>
      <c r="E249" s="189">
        <f>Empreendimentos!M168</f>
        <v>0</v>
      </c>
      <c r="F249" s="190">
        <f>Empreendimentos!H143</f>
        <v>31613.670720000002</v>
      </c>
      <c r="G249" s="190">
        <f>Empreendimentos!I143</f>
        <v>51825.689704918041</v>
      </c>
      <c r="H249" s="191">
        <f>F249*VLOOKUP(C249,$C$337:$E$351,2,FALSE)</f>
        <v>284523036.48000002</v>
      </c>
      <c r="I249" s="192">
        <f>G249*VLOOKUP(C249,$C$337:$E$351,3,FALSE)</f>
        <v>156495884.43581823</v>
      </c>
      <c r="J249" s="205">
        <f t="shared" si="654"/>
        <v>0.12883456697042253</v>
      </c>
      <c r="K249" s="205">
        <f t="shared" si="655"/>
        <v>0.12171780845170549</v>
      </c>
      <c r="L249" s="181"/>
      <c r="M249" s="182">
        <f>M237</f>
        <v>0</v>
      </c>
      <c r="N249" s="182">
        <f t="shared" ref="N249:BH249" si="659">N237</f>
        <v>0</v>
      </c>
      <c r="O249" s="182">
        <f t="shared" si="659"/>
        <v>0</v>
      </c>
      <c r="P249" s="182">
        <f t="shared" si="659"/>
        <v>0</v>
      </c>
      <c r="Q249" s="182">
        <f t="shared" si="659"/>
        <v>0</v>
      </c>
      <c r="R249" s="182">
        <f t="shared" si="659"/>
        <v>0</v>
      </c>
      <c r="S249" s="182">
        <f t="shared" si="659"/>
        <v>0</v>
      </c>
      <c r="T249" s="182">
        <f t="shared" si="659"/>
        <v>0</v>
      </c>
      <c r="U249" s="182">
        <f t="shared" si="659"/>
        <v>0</v>
      </c>
      <c r="V249" s="182">
        <f t="shared" si="659"/>
        <v>0</v>
      </c>
      <c r="W249" s="182">
        <f t="shared" si="659"/>
        <v>0.02</v>
      </c>
      <c r="X249" s="182">
        <f t="shared" si="659"/>
        <v>0.03</v>
      </c>
      <c r="Y249" s="182">
        <f t="shared" si="659"/>
        <v>0.03</v>
      </c>
      <c r="Z249" s="182">
        <f t="shared" si="659"/>
        <v>0.03</v>
      </c>
      <c r="AA249" s="182">
        <f t="shared" si="659"/>
        <v>0.03</v>
      </c>
      <c r="AB249" s="182">
        <f t="shared" si="659"/>
        <v>0.04</v>
      </c>
      <c r="AC249" s="182">
        <f t="shared" si="659"/>
        <v>0.04</v>
      </c>
      <c r="AD249" s="182">
        <f t="shared" si="659"/>
        <v>0.04</v>
      </c>
      <c r="AE249" s="182">
        <f t="shared" si="659"/>
        <v>0.04</v>
      </c>
      <c r="AF249" s="182">
        <f t="shared" si="659"/>
        <v>0.04</v>
      </c>
      <c r="AG249" s="182">
        <f t="shared" si="659"/>
        <v>0.04</v>
      </c>
      <c r="AH249" s="182">
        <f t="shared" si="659"/>
        <v>0.04</v>
      </c>
      <c r="AI249" s="182">
        <f t="shared" si="659"/>
        <v>0.05</v>
      </c>
      <c r="AJ249" s="182">
        <f t="shared" si="659"/>
        <v>0.05</v>
      </c>
      <c r="AK249" s="182">
        <f t="shared" si="659"/>
        <v>0.03</v>
      </c>
      <c r="AL249" s="182">
        <f t="shared" si="659"/>
        <v>0.02</v>
      </c>
      <c r="AM249" s="182">
        <f t="shared" si="659"/>
        <v>0.02</v>
      </c>
      <c r="AN249" s="182">
        <f t="shared" si="659"/>
        <v>0.02</v>
      </c>
      <c r="AO249" s="182">
        <f t="shared" si="659"/>
        <v>0.22</v>
      </c>
      <c r="AP249" s="182">
        <f t="shared" si="659"/>
        <v>0.02</v>
      </c>
      <c r="AQ249" s="182">
        <f t="shared" si="659"/>
        <v>0.02</v>
      </c>
      <c r="AR249" s="182">
        <f t="shared" si="659"/>
        <v>0.02</v>
      </c>
      <c r="AS249" s="182">
        <f t="shared" si="659"/>
        <v>0.02</v>
      </c>
      <c r="AT249" s="182">
        <f t="shared" si="659"/>
        <v>0.02</v>
      </c>
      <c r="AU249" s="182">
        <f t="shared" si="659"/>
        <v>0.01</v>
      </c>
      <c r="AV249" s="182">
        <f t="shared" si="659"/>
        <v>0.01</v>
      </c>
      <c r="AW249" s="182">
        <f t="shared" si="659"/>
        <v>0.01</v>
      </c>
      <c r="AX249" s="182">
        <f t="shared" si="659"/>
        <v>0.01</v>
      </c>
      <c r="AY249" s="182">
        <f t="shared" si="659"/>
        <v>0.01</v>
      </c>
      <c r="AZ249" s="182">
        <f t="shared" si="659"/>
        <v>0.01</v>
      </c>
      <c r="BA249" s="182">
        <f t="shared" si="659"/>
        <v>0.01</v>
      </c>
      <c r="BB249" s="182">
        <f t="shared" si="659"/>
        <v>0</v>
      </c>
      <c r="BC249" s="182">
        <f t="shared" si="659"/>
        <v>0</v>
      </c>
      <c r="BD249" s="182">
        <f t="shared" si="659"/>
        <v>0</v>
      </c>
      <c r="BE249" s="182">
        <f t="shared" si="659"/>
        <v>0</v>
      </c>
      <c r="BF249" s="182">
        <f t="shared" si="659"/>
        <v>0</v>
      </c>
      <c r="BG249" s="182">
        <f t="shared" si="659"/>
        <v>0</v>
      </c>
      <c r="BH249" s="182">
        <f t="shared" si="659"/>
        <v>0</v>
      </c>
      <c r="BI249" s="185"/>
      <c r="BJ249" s="119"/>
      <c r="BK249" s="11"/>
    </row>
    <row r="250" spans="1:63" ht="9.6" customHeight="1" x14ac:dyDescent="0.25">
      <c r="A250" s="120"/>
      <c r="B250" s="219"/>
      <c r="C250" s="174"/>
      <c r="D250" s="148"/>
      <c r="E250" s="173"/>
      <c r="F250" s="149"/>
      <c r="G250" s="149"/>
      <c r="H250" s="179"/>
      <c r="I250" s="180"/>
      <c r="J250" s="204">
        <f t="shared" si="654"/>
        <v>0</v>
      </c>
      <c r="K250" s="204">
        <f t="shared" si="655"/>
        <v>0</v>
      </c>
      <c r="L250" s="123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  <c r="AC250" s="124"/>
      <c r="AD250" s="124"/>
      <c r="AE250" s="124"/>
      <c r="AF250" s="124"/>
      <c r="AG250" s="124"/>
      <c r="AH250" s="124"/>
      <c r="AI250" s="124"/>
      <c r="AJ250" s="124"/>
      <c r="AK250" s="124"/>
      <c r="AL250" s="124"/>
      <c r="AM250" s="124"/>
      <c r="AN250" s="124"/>
      <c r="AO250" s="124"/>
      <c r="AP250" s="124"/>
      <c r="AQ250" s="124"/>
      <c r="AR250" s="124"/>
      <c r="AS250" s="124"/>
      <c r="AT250" s="124"/>
      <c r="AU250" s="124"/>
      <c r="AV250" s="124"/>
      <c r="AW250" s="124"/>
      <c r="AX250" s="124"/>
      <c r="AY250" s="124"/>
      <c r="AZ250" s="124"/>
      <c r="BA250" s="124"/>
      <c r="BB250" s="124"/>
      <c r="BC250" s="124"/>
      <c r="BD250" s="124"/>
      <c r="BE250" s="124"/>
      <c r="BF250" s="124"/>
      <c r="BG250" s="124"/>
      <c r="BH250" s="124"/>
      <c r="BI250" s="127"/>
      <c r="BJ250" s="119"/>
    </row>
    <row r="251" spans="1:63" ht="21.75" customHeight="1" x14ac:dyDescent="0.25">
      <c r="A251" s="193" t="str">
        <f>Empreendimentos!B145</f>
        <v>QAV08</v>
      </c>
      <c r="B251" s="154" t="str">
        <f>Empreendimentos!C145</f>
        <v>Corporativo</v>
      </c>
      <c r="C251" s="197" t="str">
        <f>$C$342</f>
        <v>Coorporativo</v>
      </c>
      <c r="D251" s="188">
        <f>Empreendimentos!L170</f>
        <v>0</v>
      </c>
      <c r="E251" s="189">
        <f>Empreendimentos!M170</f>
        <v>0</v>
      </c>
      <c r="F251" s="190">
        <f>Empreendimentos!H145</f>
        <v>16279.032220000001</v>
      </c>
      <c r="G251" s="190">
        <f>Empreendimentos!I145</f>
        <v>26686.938065573773</v>
      </c>
      <c r="H251" s="191">
        <f>F251*VLOOKUP(C251,$C$337:$E$351,2,FALSE)</f>
        <v>227906451.08000001</v>
      </c>
      <c r="I251" s="192">
        <f>G251*VLOOKUP(C251,$C$337:$E$351,3,FALSE)</f>
        <v>122759915.10163936</v>
      </c>
      <c r="J251" s="205">
        <f t="shared" si="654"/>
        <v>0.10319807245808565</v>
      </c>
      <c r="K251" s="205">
        <f t="shared" si="655"/>
        <v>9.5478982631118189E-2</v>
      </c>
      <c r="L251" s="181"/>
      <c r="M251" s="182">
        <f>M237</f>
        <v>0</v>
      </c>
      <c r="N251" s="182">
        <f t="shared" ref="N251:BH251" si="660">N237</f>
        <v>0</v>
      </c>
      <c r="O251" s="182">
        <f t="shared" si="660"/>
        <v>0</v>
      </c>
      <c r="P251" s="182">
        <f t="shared" si="660"/>
        <v>0</v>
      </c>
      <c r="Q251" s="182">
        <f t="shared" si="660"/>
        <v>0</v>
      </c>
      <c r="R251" s="182">
        <f t="shared" si="660"/>
        <v>0</v>
      </c>
      <c r="S251" s="182">
        <f t="shared" si="660"/>
        <v>0</v>
      </c>
      <c r="T251" s="182">
        <f t="shared" si="660"/>
        <v>0</v>
      </c>
      <c r="U251" s="182">
        <f t="shared" si="660"/>
        <v>0</v>
      </c>
      <c r="V251" s="182">
        <f t="shared" si="660"/>
        <v>0</v>
      </c>
      <c r="W251" s="182">
        <f t="shared" si="660"/>
        <v>0.02</v>
      </c>
      <c r="X251" s="182">
        <f t="shared" si="660"/>
        <v>0.03</v>
      </c>
      <c r="Y251" s="182">
        <f t="shared" si="660"/>
        <v>0.03</v>
      </c>
      <c r="Z251" s="182">
        <f t="shared" si="660"/>
        <v>0.03</v>
      </c>
      <c r="AA251" s="182">
        <f t="shared" si="660"/>
        <v>0.03</v>
      </c>
      <c r="AB251" s="182">
        <f t="shared" si="660"/>
        <v>0.04</v>
      </c>
      <c r="AC251" s="182">
        <f t="shared" si="660"/>
        <v>0.04</v>
      </c>
      <c r="AD251" s="182">
        <f t="shared" si="660"/>
        <v>0.04</v>
      </c>
      <c r="AE251" s="182">
        <f t="shared" si="660"/>
        <v>0.04</v>
      </c>
      <c r="AF251" s="182">
        <f t="shared" si="660"/>
        <v>0.04</v>
      </c>
      <c r="AG251" s="182">
        <f t="shared" si="660"/>
        <v>0.04</v>
      </c>
      <c r="AH251" s="182">
        <f t="shared" si="660"/>
        <v>0.04</v>
      </c>
      <c r="AI251" s="182">
        <f t="shared" si="660"/>
        <v>0.05</v>
      </c>
      <c r="AJ251" s="182">
        <f t="shared" si="660"/>
        <v>0.05</v>
      </c>
      <c r="AK251" s="182">
        <f t="shared" si="660"/>
        <v>0.03</v>
      </c>
      <c r="AL251" s="182">
        <f t="shared" si="660"/>
        <v>0.02</v>
      </c>
      <c r="AM251" s="182">
        <f t="shared" si="660"/>
        <v>0.02</v>
      </c>
      <c r="AN251" s="182">
        <f t="shared" si="660"/>
        <v>0.02</v>
      </c>
      <c r="AO251" s="182">
        <f t="shared" si="660"/>
        <v>0.22</v>
      </c>
      <c r="AP251" s="182">
        <f t="shared" si="660"/>
        <v>0.02</v>
      </c>
      <c r="AQ251" s="182">
        <f t="shared" si="660"/>
        <v>0.02</v>
      </c>
      <c r="AR251" s="182">
        <f t="shared" si="660"/>
        <v>0.02</v>
      </c>
      <c r="AS251" s="182">
        <f t="shared" si="660"/>
        <v>0.02</v>
      </c>
      <c r="AT251" s="182">
        <f t="shared" si="660"/>
        <v>0.02</v>
      </c>
      <c r="AU251" s="182">
        <f t="shared" si="660"/>
        <v>0.01</v>
      </c>
      <c r="AV251" s="182">
        <f t="shared" si="660"/>
        <v>0.01</v>
      </c>
      <c r="AW251" s="182">
        <f t="shared" si="660"/>
        <v>0.01</v>
      </c>
      <c r="AX251" s="182">
        <f t="shared" si="660"/>
        <v>0.01</v>
      </c>
      <c r="AY251" s="182">
        <f t="shared" si="660"/>
        <v>0.01</v>
      </c>
      <c r="AZ251" s="182">
        <f t="shared" si="660"/>
        <v>0.01</v>
      </c>
      <c r="BA251" s="182">
        <f t="shared" si="660"/>
        <v>0.01</v>
      </c>
      <c r="BB251" s="182">
        <f t="shared" si="660"/>
        <v>0</v>
      </c>
      <c r="BC251" s="182">
        <f t="shared" si="660"/>
        <v>0</v>
      </c>
      <c r="BD251" s="182">
        <f t="shared" si="660"/>
        <v>0</v>
      </c>
      <c r="BE251" s="182">
        <f t="shared" si="660"/>
        <v>0</v>
      </c>
      <c r="BF251" s="182">
        <f t="shared" si="660"/>
        <v>0</v>
      </c>
      <c r="BG251" s="182">
        <f t="shared" si="660"/>
        <v>0</v>
      </c>
      <c r="BH251" s="182">
        <f t="shared" si="660"/>
        <v>0</v>
      </c>
      <c r="BI251" s="185"/>
      <c r="BJ251" s="119"/>
      <c r="BK251" s="11"/>
    </row>
    <row r="252" spans="1:63" ht="9.6" customHeight="1" x14ac:dyDescent="0.25">
      <c r="A252" s="120"/>
      <c r="B252" s="219"/>
      <c r="C252" s="174"/>
      <c r="D252" s="148"/>
      <c r="E252" s="173"/>
      <c r="F252" s="149"/>
      <c r="G252" s="149"/>
      <c r="H252" s="179"/>
      <c r="I252" s="180"/>
      <c r="J252" s="204">
        <f t="shared" si="654"/>
        <v>0</v>
      </c>
      <c r="K252" s="204">
        <f t="shared" si="655"/>
        <v>0</v>
      </c>
      <c r="L252" s="123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  <c r="AC252" s="124"/>
      <c r="AD252" s="124"/>
      <c r="AE252" s="124"/>
      <c r="AF252" s="124"/>
      <c r="AG252" s="124"/>
      <c r="AH252" s="124"/>
      <c r="AI252" s="124"/>
      <c r="AJ252" s="124"/>
      <c r="AK252" s="124"/>
      <c r="AL252" s="124"/>
      <c r="AM252" s="124"/>
      <c r="AN252" s="124"/>
      <c r="AO252" s="124"/>
      <c r="AP252" s="124"/>
      <c r="AQ252" s="124"/>
      <c r="AR252" s="124"/>
      <c r="AS252" s="124"/>
      <c r="AT252" s="124"/>
      <c r="AU252" s="124"/>
      <c r="AV252" s="124"/>
      <c r="AW252" s="124"/>
      <c r="AX252" s="124"/>
      <c r="AY252" s="124"/>
      <c r="AZ252" s="124"/>
      <c r="BA252" s="124"/>
      <c r="BB252" s="124"/>
      <c r="BC252" s="124"/>
      <c r="BD252" s="124"/>
      <c r="BE252" s="124"/>
      <c r="BF252" s="124"/>
      <c r="BG252" s="124"/>
      <c r="BH252" s="124"/>
      <c r="BI252" s="127"/>
      <c r="BJ252" s="119"/>
    </row>
    <row r="253" spans="1:63" ht="21.75" customHeight="1" x14ac:dyDescent="0.25">
      <c r="A253" s="193" t="str">
        <f>Empreendimentos!B147</f>
        <v>QAV09</v>
      </c>
      <c r="B253" s="154" t="str">
        <f>Empreendimentos!C147</f>
        <v>Corporativo</v>
      </c>
      <c r="C253" s="197" t="str">
        <f>$C$342</f>
        <v>Coorporativo</v>
      </c>
      <c r="D253" s="188">
        <f>Empreendimentos!L172</f>
        <v>0</v>
      </c>
      <c r="E253" s="189">
        <f>Empreendimentos!M172</f>
        <v>0</v>
      </c>
      <c r="F253" s="190">
        <f>Empreendimentos!H147</f>
        <v>8167.1690309999994</v>
      </c>
      <c r="G253" s="190">
        <f>Empreendimentos!I147</f>
        <v>16334.338061999999</v>
      </c>
      <c r="H253" s="191">
        <f>F253*VLOOKUP(C253,$C$337:$E$351,2,FALSE)</f>
        <v>114340366.43399999</v>
      </c>
      <c r="I253" s="192">
        <f>G253*VLOOKUP(C253,$C$337:$E$351,3,FALSE)</f>
        <v>75137955.085199997</v>
      </c>
      <c r="J253" s="205">
        <f t="shared" si="654"/>
        <v>5.177433707656677E-2</v>
      </c>
      <c r="K253" s="205">
        <f t="shared" si="655"/>
        <v>5.8440049445926547E-2</v>
      </c>
      <c r="L253" s="181"/>
      <c r="M253" s="182">
        <f>M237</f>
        <v>0</v>
      </c>
      <c r="N253" s="182">
        <f t="shared" ref="N253:BH253" si="661">N237</f>
        <v>0</v>
      </c>
      <c r="O253" s="182">
        <f t="shared" si="661"/>
        <v>0</v>
      </c>
      <c r="P253" s="182">
        <f t="shared" si="661"/>
        <v>0</v>
      </c>
      <c r="Q253" s="182">
        <f t="shared" si="661"/>
        <v>0</v>
      </c>
      <c r="R253" s="182">
        <f t="shared" si="661"/>
        <v>0</v>
      </c>
      <c r="S253" s="182">
        <f t="shared" si="661"/>
        <v>0</v>
      </c>
      <c r="T253" s="182">
        <f t="shared" si="661"/>
        <v>0</v>
      </c>
      <c r="U253" s="182">
        <f t="shared" si="661"/>
        <v>0</v>
      </c>
      <c r="V253" s="182">
        <f t="shared" si="661"/>
        <v>0</v>
      </c>
      <c r="W253" s="182">
        <f t="shared" si="661"/>
        <v>0.02</v>
      </c>
      <c r="X253" s="182">
        <f t="shared" si="661"/>
        <v>0.03</v>
      </c>
      <c r="Y253" s="182">
        <f t="shared" si="661"/>
        <v>0.03</v>
      </c>
      <c r="Z253" s="182">
        <f t="shared" si="661"/>
        <v>0.03</v>
      </c>
      <c r="AA253" s="182">
        <f t="shared" si="661"/>
        <v>0.03</v>
      </c>
      <c r="AB253" s="182">
        <f t="shared" si="661"/>
        <v>0.04</v>
      </c>
      <c r="AC253" s="182">
        <f t="shared" si="661"/>
        <v>0.04</v>
      </c>
      <c r="AD253" s="182">
        <f t="shared" si="661"/>
        <v>0.04</v>
      </c>
      <c r="AE253" s="182">
        <f t="shared" si="661"/>
        <v>0.04</v>
      </c>
      <c r="AF253" s="182">
        <f t="shared" si="661"/>
        <v>0.04</v>
      </c>
      <c r="AG253" s="182">
        <f t="shared" si="661"/>
        <v>0.04</v>
      </c>
      <c r="AH253" s="182">
        <f t="shared" si="661"/>
        <v>0.04</v>
      </c>
      <c r="AI253" s="182">
        <f t="shared" si="661"/>
        <v>0.05</v>
      </c>
      <c r="AJ253" s="182">
        <f t="shared" si="661"/>
        <v>0.05</v>
      </c>
      <c r="AK253" s="182">
        <f t="shared" si="661"/>
        <v>0.03</v>
      </c>
      <c r="AL253" s="182">
        <f t="shared" si="661"/>
        <v>0.02</v>
      </c>
      <c r="AM253" s="182">
        <f t="shared" si="661"/>
        <v>0.02</v>
      </c>
      <c r="AN253" s="182">
        <f t="shared" si="661"/>
        <v>0.02</v>
      </c>
      <c r="AO253" s="182">
        <f t="shared" si="661"/>
        <v>0.22</v>
      </c>
      <c r="AP253" s="182">
        <f t="shared" si="661"/>
        <v>0.02</v>
      </c>
      <c r="AQ253" s="182">
        <f t="shared" si="661"/>
        <v>0.02</v>
      </c>
      <c r="AR253" s="182">
        <f t="shared" si="661"/>
        <v>0.02</v>
      </c>
      <c r="AS253" s="182">
        <f t="shared" si="661"/>
        <v>0.02</v>
      </c>
      <c r="AT253" s="182">
        <f t="shared" si="661"/>
        <v>0.02</v>
      </c>
      <c r="AU253" s="182">
        <f t="shared" si="661"/>
        <v>0.01</v>
      </c>
      <c r="AV253" s="182">
        <f t="shared" si="661"/>
        <v>0.01</v>
      </c>
      <c r="AW253" s="182">
        <f t="shared" si="661"/>
        <v>0.01</v>
      </c>
      <c r="AX253" s="182">
        <f t="shared" si="661"/>
        <v>0.01</v>
      </c>
      <c r="AY253" s="182">
        <f t="shared" si="661"/>
        <v>0.01</v>
      </c>
      <c r="AZ253" s="182">
        <f t="shared" si="661"/>
        <v>0.01</v>
      </c>
      <c r="BA253" s="182">
        <f t="shared" si="661"/>
        <v>0.01</v>
      </c>
      <c r="BB253" s="182">
        <f t="shared" si="661"/>
        <v>0</v>
      </c>
      <c r="BC253" s="182">
        <f t="shared" si="661"/>
        <v>0</v>
      </c>
      <c r="BD253" s="182">
        <f t="shared" si="661"/>
        <v>0</v>
      </c>
      <c r="BE253" s="182">
        <f t="shared" si="661"/>
        <v>0</v>
      </c>
      <c r="BF253" s="182">
        <f t="shared" si="661"/>
        <v>0</v>
      </c>
      <c r="BG253" s="182">
        <f t="shared" si="661"/>
        <v>0</v>
      </c>
      <c r="BH253" s="182">
        <f t="shared" si="661"/>
        <v>0</v>
      </c>
      <c r="BI253" s="185"/>
      <c r="BJ253" s="119"/>
      <c r="BK253" s="11"/>
    </row>
    <row r="254" spans="1:63" ht="9.6" customHeight="1" x14ac:dyDescent="0.25">
      <c r="A254" s="120"/>
      <c r="B254" s="219"/>
      <c r="C254" s="174"/>
      <c r="D254" s="148"/>
      <c r="E254" s="173"/>
      <c r="F254" s="149"/>
      <c r="G254" s="149"/>
      <c r="H254" s="179"/>
      <c r="I254" s="180"/>
      <c r="J254" s="204">
        <f t="shared" si="654"/>
        <v>0</v>
      </c>
      <c r="K254" s="204">
        <f t="shared" si="655"/>
        <v>0</v>
      </c>
      <c r="L254" s="123"/>
      <c r="M254" s="124"/>
      <c r="N254" s="124"/>
      <c r="O254" s="128"/>
      <c r="P254" s="128"/>
      <c r="Q254" s="128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  <c r="AD254" s="125"/>
      <c r="AE254" s="125"/>
      <c r="AF254" s="125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126"/>
      <c r="AS254" s="126"/>
      <c r="AT254" s="126"/>
      <c r="AU254" s="126"/>
      <c r="AV254" s="126"/>
      <c r="AW254" s="126"/>
      <c r="AX254" s="126"/>
      <c r="AY254" s="126"/>
      <c r="AZ254" s="126"/>
      <c r="BA254" s="126"/>
      <c r="BB254" s="126"/>
      <c r="BC254" s="126"/>
      <c r="BD254" s="126"/>
      <c r="BE254" s="126"/>
      <c r="BF254" s="126"/>
      <c r="BG254" s="126"/>
      <c r="BH254" s="126"/>
      <c r="BI254" s="127"/>
      <c r="BJ254" s="119"/>
    </row>
    <row r="255" spans="1:63" ht="21.75" customHeight="1" x14ac:dyDescent="0.25">
      <c r="A255" s="217"/>
      <c r="B255" s="218" t="s">
        <v>232</v>
      </c>
      <c r="C255" s="197" t="str">
        <f>$C$343</f>
        <v>Lote aberto</v>
      </c>
      <c r="D255" s="188"/>
      <c r="E255" s="189"/>
      <c r="F255" s="190">
        <f>Empreendimentos!H151</f>
        <v>0</v>
      </c>
      <c r="G255" s="190">
        <f>SUM(Empreendimentos!D131:D150)</f>
        <v>102287.58699999998</v>
      </c>
      <c r="H255" s="191">
        <f>F255*VLOOKUP(C255,$C$337:$E$351,2,FALSE)</f>
        <v>0</v>
      </c>
      <c r="I255" s="192">
        <f>G255*VLOOKUP(C255,$C$337:$E$351,3,FALSE)</f>
        <v>25571896.749999996</v>
      </c>
      <c r="J255" s="205">
        <f t="shared" si="654"/>
        <v>0</v>
      </c>
      <c r="K255" s="205">
        <f t="shared" si="655"/>
        <v>1.9889054856517999E-2</v>
      </c>
      <c r="L255" s="181"/>
      <c r="M255" s="182">
        <f>'Cronogramaa Fisico'!E44</f>
        <v>0</v>
      </c>
      <c r="N255" s="182">
        <f>'Cronogramaa Fisico'!F44</f>
        <v>0</v>
      </c>
      <c r="O255" s="182">
        <f>'Cronogramaa Fisico'!G44</f>
        <v>0</v>
      </c>
      <c r="P255" s="183">
        <f>'Cronogramaa Fisico'!H44</f>
        <v>0</v>
      </c>
      <c r="Q255" s="183">
        <f>'Cronogramaa Fisico'!I44</f>
        <v>0</v>
      </c>
      <c r="R255" s="183">
        <f>'Cronogramaa Fisico'!J44</f>
        <v>0</v>
      </c>
      <c r="S255" s="183">
        <f>'Cronogramaa Fisico'!K44</f>
        <v>0</v>
      </c>
      <c r="T255" s="183">
        <f>'Cronogramaa Fisico'!L44</f>
        <v>0</v>
      </c>
      <c r="U255" s="183">
        <f>'Cronogramaa Fisico'!M44</f>
        <v>0.2</v>
      </c>
      <c r="V255" s="183">
        <f>'Cronogramaa Fisico'!N44</f>
        <v>0.3</v>
      </c>
      <c r="W255" s="183">
        <f>'Cronogramaa Fisico'!O44</f>
        <v>0</v>
      </c>
      <c r="X255" s="183">
        <f>'Cronogramaa Fisico'!P44</f>
        <v>0</v>
      </c>
      <c r="Y255" s="183">
        <f>'Cronogramaa Fisico'!Q44</f>
        <v>0</v>
      </c>
      <c r="Z255" s="183">
        <f>'Cronogramaa Fisico'!R44</f>
        <v>0</v>
      </c>
      <c r="AA255" s="183">
        <f>'Cronogramaa Fisico'!S44</f>
        <v>0</v>
      </c>
      <c r="AB255" s="183">
        <f>'Cronogramaa Fisico'!T44</f>
        <v>0</v>
      </c>
      <c r="AC255" s="183">
        <f>'Cronogramaa Fisico'!U44</f>
        <v>0.2</v>
      </c>
      <c r="AD255" s="183">
        <f>'Cronogramaa Fisico'!V44</f>
        <v>0.3</v>
      </c>
      <c r="AE255" s="183">
        <f>'Cronogramaa Fisico'!W44</f>
        <v>0</v>
      </c>
      <c r="AF255" s="183">
        <f>'Cronogramaa Fisico'!X44</f>
        <v>0</v>
      </c>
      <c r="AG255" s="184">
        <f>'Cronogramaa Fisico'!Y44</f>
        <v>0</v>
      </c>
      <c r="AH255" s="184">
        <f>'Cronogramaa Fisico'!Z44</f>
        <v>0</v>
      </c>
      <c r="AI255" s="184">
        <f>'Cronogramaa Fisico'!AA44</f>
        <v>0</v>
      </c>
      <c r="AJ255" s="184">
        <f>'Cronogramaa Fisico'!AB44</f>
        <v>0</v>
      </c>
      <c r="AK255" s="184">
        <f>'Cronogramaa Fisico'!AC44</f>
        <v>0</v>
      </c>
      <c r="AL255" s="184">
        <f>'Cronogramaa Fisico'!AD44</f>
        <v>0</v>
      </c>
      <c r="AM255" s="184">
        <f>'Cronogramaa Fisico'!AE44</f>
        <v>0</v>
      </c>
      <c r="AN255" s="184">
        <f>'Cronogramaa Fisico'!AF44</f>
        <v>0</v>
      </c>
      <c r="AO255" s="184">
        <f>'Cronogramaa Fisico'!AG44</f>
        <v>0</v>
      </c>
      <c r="AP255" s="184">
        <f>'Cronogramaa Fisico'!AH44</f>
        <v>0</v>
      </c>
      <c r="AQ255" s="184">
        <f>'Cronogramaa Fisico'!AI44</f>
        <v>0</v>
      </c>
      <c r="AR255" s="184">
        <f>'Cronogramaa Fisico'!AJ44</f>
        <v>0</v>
      </c>
      <c r="AS255" s="184">
        <f>'Cronogramaa Fisico'!AK44</f>
        <v>0</v>
      </c>
      <c r="AT255" s="184">
        <f>'Cronogramaa Fisico'!AL44</f>
        <v>0</v>
      </c>
      <c r="AU255" s="184">
        <f>'Cronogramaa Fisico'!AM44</f>
        <v>0</v>
      </c>
      <c r="AV255" s="184">
        <f>'Cronogramaa Fisico'!AN44</f>
        <v>0</v>
      </c>
      <c r="AW255" s="184">
        <f>'Cronogramaa Fisico'!AO44</f>
        <v>0</v>
      </c>
      <c r="AX255" s="184">
        <f>'Cronogramaa Fisico'!AP44</f>
        <v>0</v>
      </c>
      <c r="AY255" s="184">
        <f>'Cronogramaa Fisico'!AQ44</f>
        <v>0</v>
      </c>
      <c r="AZ255" s="184">
        <f>'Cronogramaa Fisico'!AR44</f>
        <v>0</v>
      </c>
      <c r="BA255" s="184">
        <f>'Cronogramaa Fisico'!AS44</f>
        <v>0</v>
      </c>
      <c r="BB255" s="184">
        <f>'Cronogramaa Fisico'!AT44</f>
        <v>0</v>
      </c>
      <c r="BC255" s="184">
        <f>'Cronogramaa Fisico'!AU44</f>
        <v>0</v>
      </c>
      <c r="BD255" s="184">
        <f>'Cronogramaa Fisico'!AV44</f>
        <v>0</v>
      </c>
      <c r="BE255" s="184">
        <f>'Cronogramaa Fisico'!AW44</f>
        <v>0</v>
      </c>
      <c r="BF255" s="184">
        <f>'Cronogramaa Fisico'!AX44</f>
        <v>0</v>
      </c>
      <c r="BG255" s="184">
        <f>'Cronogramaa Fisico'!AY44</f>
        <v>0</v>
      </c>
      <c r="BH255" s="184">
        <f>'Cronogramaa Fisico'!AZ44</f>
        <v>0</v>
      </c>
      <c r="BI255" s="185">
        <f>'Cronogramaa Fisico'!BA44</f>
        <v>0</v>
      </c>
      <c r="BJ255" s="119"/>
      <c r="BK255" s="11"/>
    </row>
    <row r="256" spans="1:63" s="13" customFormat="1" ht="9.6" customHeight="1" x14ac:dyDescent="0.25">
      <c r="A256" s="130"/>
      <c r="B256" s="131"/>
      <c r="C256" s="131"/>
      <c r="D256" s="131"/>
      <c r="E256" s="131"/>
      <c r="F256" s="131"/>
      <c r="G256" s="131"/>
      <c r="H256" s="131"/>
      <c r="I256" s="132"/>
      <c r="J256" s="207">
        <f>H256/$H$42</f>
        <v>0</v>
      </c>
      <c r="K256" s="207">
        <f>I256/$H$42</f>
        <v>0</v>
      </c>
      <c r="L256" s="133"/>
      <c r="M256" s="134"/>
      <c r="N256" s="134"/>
      <c r="O256" s="134"/>
      <c r="P256" s="135"/>
      <c r="Q256" s="135"/>
      <c r="R256" s="135"/>
      <c r="S256" s="135"/>
      <c r="T256" s="136"/>
      <c r="U256" s="136"/>
      <c r="V256" s="136"/>
      <c r="W256" s="136"/>
      <c r="X256" s="136"/>
      <c r="Y256" s="136"/>
      <c r="Z256" s="136"/>
      <c r="AA256" s="136"/>
      <c r="AB256" s="136"/>
      <c r="AC256" s="136"/>
      <c r="AD256" s="136"/>
      <c r="AE256" s="136"/>
      <c r="AF256" s="136"/>
      <c r="AG256" s="137"/>
      <c r="AH256" s="137"/>
      <c r="AI256" s="137"/>
      <c r="AJ256" s="137"/>
      <c r="AK256" s="137"/>
      <c r="AL256" s="137"/>
      <c r="AM256" s="137"/>
      <c r="AN256" s="137"/>
      <c r="AO256" s="137"/>
      <c r="AP256" s="137"/>
      <c r="AQ256" s="137"/>
      <c r="AR256" s="137"/>
      <c r="AS256" s="137"/>
      <c r="AT256" s="137"/>
      <c r="AU256" s="137"/>
      <c r="AV256" s="137"/>
      <c r="AW256" s="137"/>
      <c r="AX256" s="137"/>
      <c r="AY256" s="137"/>
      <c r="AZ256" s="137"/>
      <c r="BA256" s="137"/>
      <c r="BB256" s="137"/>
      <c r="BC256" s="137"/>
      <c r="BD256" s="137"/>
      <c r="BE256" s="137"/>
      <c r="BF256" s="137"/>
      <c r="BG256" s="137"/>
      <c r="BH256" s="137"/>
      <c r="BI256" s="138"/>
      <c r="BJ256" s="119">
        <f>SUM(K256:AI256)</f>
        <v>0</v>
      </c>
    </row>
    <row r="257" spans="1:63" s="13" customFormat="1" ht="7.8" customHeight="1" x14ac:dyDescent="0.25">
      <c r="A257" s="139"/>
      <c r="B257" s="140"/>
      <c r="C257" s="140"/>
      <c r="D257" s="140"/>
      <c r="E257" s="140"/>
      <c r="F257" s="140"/>
      <c r="G257" s="140"/>
      <c r="H257" s="140"/>
      <c r="I257" s="141"/>
      <c r="J257" s="140"/>
      <c r="K257" s="140"/>
      <c r="L257" s="139"/>
      <c r="M257" s="139"/>
      <c r="N257" s="139"/>
      <c r="O257" s="139"/>
      <c r="P257" s="139"/>
      <c r="Q257" s="139"/>
      <c r="R257" s="139"/>
      <c r="S257" s="139"/>
      <c r="T257" s="142"/>
      <c r="U257" s="142"/>
      <c r="V257" s="142"/>
      <c r="W257" s="142"/>
      <c r="X257" s="142"/>
      <c r="Y257" s="142"/>
      <c r="Z257" s="142"/>
      <c r="AA257" s="142"/>
      <c r="AB257" s="142"/>
      <c r="AC257" s="142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  <c r="AO257" s="142"/>
      <c r="AP257" s="142"/>
      <c r="AQ257" s="142"/>
      <c r="AR257" s="142"/>
      <c r="AS257" s="142"/>
      <c r="AT257" s="142"/>
      <c r="AU257" s="142"/>
      <c r="AV257" s="142"/>
      <c r="AW257" s="142"/>
      <c r="AX257" s="142"/>
      <c r="AY257" s="142"/>
      <c r="AZ257" s="142"/>
      <c r="BA257" s="142"/>
      <c r="BB257" s="142"/>
      <c r="BC257" s="142"/>
      <c r="BD257" s="142"/>
      <c r="BE257" s="142"/>
      <c r="BF257" s="142"/>
      <c r="BG257" s="142"/>
      <c r="BH257" s="142"/>
      <c r="BI257" s="142"/>
      <c r="BJ257" s="143"/>
    </row>
    <row r="258" spans="1:63" s="144" customFormat="1" ht="18" customHeight="1" x14ac:dyDescent="0.25">
      <c r="A258" s="379" t="s">
        <v>223</v>
      </c>
      <c r="B258" s="380"/>
      <c r="C258" s="385" t="s">
        <v>168</v>
      </c>
      <c r="D258" s="386"/>
      <c r="E258" s="386"/>
      <c r="F258" s="386"/>
      <c r="G258" s="387"/>
      <c r="H258" s="388">
        <f>SUM(H236)</f>
        <v>2208437092.3940001</v>
      </c>
      <c r="I258" s="388"/>
      <c r="J258" s="389">
        <f>J236</f>
        <v>1</v>
      </c>
      <c r="K258" s="389"/>
      <c r="L258" s="163">
        <f t="shared" ref="L258:M258" si="662">SUMPRODUCT($H237:$H256,L237:L256)</f>
        <v>0</v>
      </c>
      <c r="M258" s="163">
        <f t="shared" si="662"/>
        <v>0</v>
      </c>
      <c r="N258" s="163">
        <f t="shared" ref="N258:BI258" si="663">SUMPRODUCT($H237:$H256,N237:N256)</f>
        <v>0</v>
      </c>
      <c r="O258" s="163">
        <f t="shared" si="663"/>
        <v>0</v>
      </c>
      <c r="P258" s="163">
        <f t="shared" si="663"/>
        <v>0</v>
      </c>
      <c r="Q258" s="163">
        <f t="shared" si="663"/>
        <v>0</v>
      </c>
      <c r="R258" s="163">
        <f t="shared" si="663"/>
        <v>0</v>
      </c>
      <c r="S258" s="163">
        <f t="shared" si="663"/>
        <v>0</v>
      </c>
      <c r="T258" s="163">
        <f t="shared" si="663"/>
        <v>0</v>
      </c>
      <c r="U258" s="163">
        <f t="shared" si="663"/>
        <v>0</v>
      </c>
      <c r="V258" s="163">
        <f t="shared" si="663"/>
        <v>0</v>
      </c>
      <c r="W258" s="163">
        <f t="shared" si="663"/>
        <v>44168741.847879998</v>
      </c>
      <c r="X258" s="163">
        <f t="shared" si="663"/>
        <v>66253112.771819994</v>
      </c>
      <c r="Y258" s="163">
        <f t="shared" si="663"/>
        <v>66253112.771819994</v>
      </c>
      <c r="Z258" s="163">
        <f t="shared" si="663"/>
        <v>66253112.771819994</v>
      </c>
      <c r="AA258" s="163">
        <f t="shared" si="663"/>
        <v>66253112.771819994</v>
      </c>
      <c r="AB258" s="163">
        <f t="shared" si="663"/>
        <v>88337483.695759997</v>
      </c>
      <c r="AC258" s="163">
        <f t="shared" si="663"/>
        <v>88337483.695759997</v>
      </c>
      <c r="AD258" s="163">
        <f t="shared" si="663"/>
        <v>88337483.695759997</v>
      </c>
      <c r="AE258" s="163">
        <f t="shared" si="663"/>
        <v>88337483.695759997</v>
      </c>
      <c r="AF258" s="163">
        <f t="shared" si="663"/>
        <v>88337483.695759997</v>
      </c>
      <c r="AG258" s="163">
        <f t="shared" si="663"/>
        <v>88337483.695759997</v>
      </c>
      <c r="AH258" s="163">
        <f t="shared" si="663"/>
        <v>88337483.695759997</v>
      </c>
      <c r="AI258" s="163">
        <f t="shared" si="663"/>
        <v>110421854.61970001</v>
      </c>
      <c r="AJ258" s="163">
        <f t="shared" si="663"/>
        <v>110421854.61970001</v>
      </c>
      <c r="AK258" s="163">
        <f t="shared" si="663"/>
        <v>66253112.771819994</v>
      </c>
      <c r="AL258" s="163">
        <f t="shared" si="663"/>
        <v>44168741.847879998</v>
      </c>
      <c r="AM258" s="163">
        <f t="shared" si="663"/>
        <v>44168741.847879998</v>
      </c>
      <c r="AN258" s="163">
        <f t="shared" si="663"/>
        <v>44168741.847879998</v>
      </c>
      <c r="AO258" s="163">
        <f t="shared" si="663"/>
        <v>485856160.32668006</v>
      </c>
      <c r="AP258" s="163">
        <f t="shared" si="663"/>
        <v>44168741.847879998</v>
      </c>
      <c r="AQ258" s="163">
        <f t="shared" si="663"/>
        <v>44168741.847879998</v>
      </c>
      <c r="AR258" s="163">
        <f t="shared" si="663"/>
        <v>44168741.847879998</v>
      </c>
      <c r="AS258" s="163">
        <f t="shared" si="663"/>
        <v>44168741.847879998</v>
      </c>
      <c r="AT258" s="163">
        <f t="shared" si="663"/>
        <v>44168741.847879998</v>
      </c>
      <c r="AU258" s="163">
        <f t="shared" si="663"/>
        <v>22084370.923939999</v>
      </c>
      <c r="AV258" s="163">
        <f t="shared" si="663"/>
        <v>22084370.923939999</v>
      </c>
      <c r="AW258" s="163">
        <f t="shared" si="663"/>
        <v>22084370.923939999</v>
      </c>
      <c r="AX258" s="163">
        <f t="shared" si="663"/>
        <v>22084370.923939999</v>
      </c>
      <c r="AY258" s="163">
        <f t="shared" si="663"/>
        <v>22084370.923939999</v>
      </c>
      <c r="AZ258" s="163">
        <f t="shared" si="663"/>
        <v>22084370.923939999</v>
      </c>
      <c r="BA258" s="163">
        <f t="shared" si="663"/>
        <v>22084370.923939999</v>
      </c>
      <c r="BB258" s="163">
        <f t="shared" si="663"/>
        <v>0</v>
      </c>
      <c r="BC258" s="163">
        <f t="shared" si="663"/>
        <v>0</v>
      </c>
      <c r="BD258" s="163">
        <f t="shared" si="663"/>
        <v>0</v>
      </c>
      <c r="BE258" s="163">
        <f t="shared" si="663"/>
        <v>0</v>
      </c>
      <c r="BF258" s="163">
        <f t="shared" si="663"/>
        <v>0</v>
      </c>
      <c r="BG258" s="163">
        <f t="shared" si="663"/>
        <v>0</v>
      </c>
      <c r="BH258" s="163">
        <f t="shared" si="663"/>
        <v>0</v>
      </c>
      <c r="BI258" s="163">
        <f t="shared" si="663"/>
        <v>0</v>
      </c>
    </row>
    <row r="259" spans="1:63" s="144" customFormat="1" ht="18" customHeight="1" x14ac:dyDescent="0.25">
      <c r="A259" s="381"/>
      <c r="B259" s="382"/>
      <c r="C259" s="385" t="s">
        <v>169</v>
      </c>
      <c r="D259" s="386"/>
      <c r="E259" s="386"/>
      <c r="F259" s="386"/>
      <c r="G259" s="387"/>
      <c r="H259" s="388"/>
      <c r="I259" s="388"/>
      <c r="J259" s="389"/>
      <c r="K259" s="389"/>
      <c r="L259" s="164">
        <f t="shared" ref="L259" si="664">L258+K259</f>
        <v>0</v>
      </c>
      <c r="M259" s="164">
        <f>M258+L259</f>
        <v>0</v>
      </c>
      <c r="N259" s="164">
        <f t="shared" ref="N259:BI259" si="665">N258+M259</f>
        <v>0</v>
      </c>
      <c r="O259" s="164">
        <f t="shared" si="665"/>
        <v>0</v>
      </c>
      <c r="P259" s="164">
        <f t="shared" si="665"/>
        <v>0</v>
      </c>
      <c r="Q259" s="164">
        <f t="shared" si="665"/>
        <v>0</v>
      </c>
      <c r="R259" s="164">
        <f t="shared" si="665"/>
        <v>0</v>
      </c>
      <c r="S259" s="164">
        <f t="shared" si="665"/>
        <v>0</v>
      </c>
      <c r="T259" s="164">
        <f t="shared" si="665"/>
        <v>0</v>
      </c>
      <c r="U259" s="164">
        <f t="shared" si="665"/>
        <v>0</v>
      </c>
      <c r="V259" s="164">
        <f t="shared" si="665"/>
        <v>0</v>
      </c>
      <c r="W259" s="164">
        <f t="shared" si="665"/>
        <v>44168741.847879998</v>
      </c>
      <c r="X259" s="164">
        <f t="shared" si="665"/>
        <v>110421854.61969998</v>
      </c>
      <c r="Y259" s="164">
        <f t="shared" si="665"/>
        <v>176674967.39151996</v>
      </c>
      <c r="Z259" s="164">
        <f t="shared" si="665"/>
        <v>242928080.16333997</v>
      </c>
      <c r="AA259" s="164">
        <f t="shared" si="665"/>
        <v>309181192.93515998</v>
      </c>
      <c r="AB259" s="164">
        <f t="shared" si="665"/>
        <v>397518676.63091999</v>
      </c>
      <c r="AC259" s="164">
        <f t="shared" si="665"/>
        <v>485856160.32668</v>
      </c>
      <c r="AD259" s="164">
        <f t="shared" si="665"/>
        <v>574193644.02243996</v>
      </c>
      <c r="AE259" s="164">
        <f t="shared" si="665"/>
        <v>662531127.71819997</v>
      </c>
      <c r="AF259" s="164">
        <f t="shared" si="665"/>
        <v>750868611.41395998</v>
      </c>
      <c r="AG259" s="164">
        <f t="shared" si="665"/>
        <v>839206095.10971999</v>
      </c>
      <c r="AH259" s="164">
        <f t="shared" si="665"/>
        <v>927543578.80548</v>
      </c>
      <c r="AI259" s="164">
        <f t="shared" si="665"/>
        <v>1037965433.42518</v>
      </c>
      <c r="AJ259" s="164">
        <f t="shared" si="665"/>
        <v>1148387288.0448799</v>
      </c>
      <c r="AK259" s="164">
        <f t="shared" si="665"/>
        <v>1214640400.8167</v>
      </c>
      <c r="AL259" s="164">
        <f t="shared" si="665"/>
        <v>1258809142.6645799</v>
      </c>
      <c r="AM259" s="164">
        <f t="shared" si="665"/>
        <v>1302977884.5124598</v>
      </c>
      <c r="AN259" s="164">
        <f t="shared" si="665"/>
        <v>1347146626.3603396</v>
      </c>
      <c r="AO259" s="164">
        <f t="shared" si="665"/>
        <v>1833002786.6870198</v>
      </c>
      <c r="AP259" s="164">
        <f t="shared" si="665"/>
        <v>1877171528.5348997</v>
      </c>
      <c r="AQ259" s="164">
        <f t="shared" si="665"/>
        <v>1921340270.3827796</v>
      </c>
      <c r="AR259" s="164">
        <f t="shared" si="665"/>
        <v>1965509012.2306595</v>
      </c>
      <c r="AS259" s="164">
        <f t="shared" si="665"/>
        <v>2009677754.0785394</v>
      </c>
      <c r="AT259" s="164">
        <f t="shared" si="665"/>
        <v>2053846495.9264193</v>
      </c>
      <c r="AU259" s="164">
        <f t="shared" si="665"/>
        <v>2075930866.8503592</v>
      </c>
      <c r="AV259" s="164">
        <f t="shared" si="665"/>
        <v>2098015237.7742991</v>
      </c>
      <c r="AW259" s="164">
        <f t="shared" si="665"/>
        <v>2120099608.6982391</v>
      </c>
      <c r="AX259" s="164">
        <f t="shared" si="665"/>
        <v>2142183979.622179</v>
      </c>
      <c r="AY259" s="164">
        <f t="shared" si="665"/>
        <v>2164268350.5461192</v>
      </c>
      <c r="AZ259" s="164">
        <f t="shared" si="665"/>
        <v>2186352721.4700594</v>
      </c>
      <c r="BA259" s="164">
        <f t="shared" si="665"/>
        <v>2208437092.3939996</v>
      </c>
      <c r="BB259" s="164">
        <f t="shared" si="665"/>
        <v>2208437092.3939996</v>
      </c>
      <c r="BC259" s="164">
        <f t="shared" si="665"/>
        <v>2208437092.3939996</v>
      </c>
      <c r="BD259" s="164">
        <f t="shared" si="665"/>
        <v>2208437092.3939996</v>
      </c>
      <c r="BE259" s="164">
        <f t="shared" si="665"/>
        <v>2208437092.3939996</v>
      </c>
      <c r="BF259" s="164">
        <f t="shared" si="665"/>
        <v>2208437092.3939996</v>
      </c>
      <c r="BG259" s="164">
        <f t="shared" si="665"/>
        <v>2208437092.3939996</v>
      </c>
      <c r="BH259" s="164">
        <f t="shared" si="665"/>
        <v>2208437092.3939996</v>
      </c>
      <c r="BI259" s="164">
        <f t="shared" si="665"/>
        <v>2208437092.3939996</v>
      </c>
    </row>
    <row r="260" spans="1:63" s="144" customFormat="1" ht="18" customHeight="1" x14ac:dyDescent="0.25">
      <c r="A260" s="381"/>
      <c r="B260" s="382"/>
      <c r="C260" s="385" t="s">
        <v>170</v>
      </c>
      <c r="D260" s="386"/>
      <c r="E260" s="386"/>
      <c r="F260" s="386"/>
      <c r="G260" s="387"/>
      <c r="H260" s="388"/>
      <c r="I260" s="388"/>
      <c r="J260" s="389"/>
      <c r="K260" s="389"/>
      <c r="L260" s="165">
        <f>L258/$H$258</f>
        <v>0</v>
      </c>
      <c r="M260" s="165">
        <f>M258/$H$258</f>
        <v>0</v>
      </c>
      <c r="N260" s="165">
        <f t="shared" ref="N260:BI260" si="666">N258/$H$258</f>
        <v>0</v>
      </c>
      <c r="O260" s="165">
        <f t="shared" si="666"/>
        <v>0</v>
      </c>
      <c r="P260" s="165">
        <f t="shared" si="666"/>
        <v>0</v>
      </c>
      <c r="Q260" s="165">
        <f t="shared" si="666"/>
        <v>0</v>
      </c>
      <c r="R260" s="165">
        <f t="shared" si="666"/>
        <v>0</v>
      </c>
      <c r="S260" s="165">
        <f t="shared" si="666"/>
        <v>0</v>
      </c>
      <c r="T260" s="165">
        <f t="shared" si="666"/>
        <v>0</v>
      </c>
      <c r="U260" s="165">
        <f t="shared" si="666"/>
        <v>0</v>
      </c>
      <c r="V260" s="165">
        <f t="shared" si="666"/>
        <v>0</v>
      </c>
      <c r="W260" s="165">
        <f t="shared" si="666"/>
        <v>0.02</v>
      </c>
      <c r="X260" s="165">
        <f t="shared" si="666"/>
        <v>2.9999999999999995E-2</v>
      </c>
      <c r="Y260" s="165">
        <f t="shared" si="666"/>
        <v>2.9999999999999995E-2</v>
      </c>
      <c r="Z260" s="165">
        <f t="shared" si="666"/>
        <v>2.9999999999999995E-2</v>
      </c>
      <c r="AA260" s="165">
        <f t="shared" si="666"/>
        <v>2.9999999999999995E-2</v>
      </c>
      <c r="AB260" s="165">
        <f t="shared" si="666"/>
        <v>0.04</v>
      </c>
      <c r="AC260" s="165">
        <f t="shared" si="666"/>
        <v>0.04</v>
      </c>
      <c r="AD260" s="165">
        <f t="shared" si="666"/>
        <v>0.04</v>
      </c>
      <c r="AE260" s="165">
        <f t="shared" si="666"/>
        <v>0.04</v>
      </c>
      <c r="AF260" s="165">
        <f t="shared" si="666"/>
        <v>0.04</v>
      </c>
      <c r="AG260" s="165">
        <f t="shared" si="666"/>
        <v>0.04</v>
      </c>
      <c r="AH260" s="165">
        <f t="shared" si="666"/>
        <v>0.04</v>
      </c>
      <c r="AI260" s="165">
        <f t="shared" si="666"/>
        <v>0.05</v>
      </c>
      <c r="AJ260" s="165">
        <f t="shared" si="666"/>
        <v>0.05</v>
      </c>
      <c r="AK260" s="165">
        <f t="shared" si="666"/>
        <v>2.9999999999999995E-2</v>
      </c>
      <c r="AL260" s="165">
        <f t="shared" si="666"/>
        <v>0.02</v>
      </c>
      <c r="AM260" s="165">
        <f t="shared" si="666"/>
        <v>0.02</v>
      </c>
      <c r="AN260" s="165">
        <f t="shared" si="666"/>
        <v>0.02</v>
      </c>
      <c r="AO260" s="165">
        <f t="shared" si="666"/>
        <v>0.22000000000000003</v>
      </c>
      <c r="AP260" s="165">
        <f t="shared" si="666"/>
        <v>0.02</v>
      </c>
      <c r="AQ260" s="165">
        <f t="shared" si="666"/>
        <v>0.02</v>
      </c>
      <c r="AR260" s="165">
        <f t="shared" si="666"/>
        <v>0.02</v>
      </c>
      <c r="AS260" s="165">
        <f t="shared" si="666"/>
        <v>0.02</v>
      </c>
      <c r="AT260" s="165">
        <f t="shared" si="666"/>
        <v>0.02</v>
      </c>
      <c r="AU260" s="165">
        <f t="shared" si="666"/>
        <v>0.01</v>
      </c>
      <c r="AV260" s="165">
        <f t="shared" si="666"/>
        <v>0.01</v>
      </c>
      <c r="AW260" s="165">
        <f t="shared" si="666"/>
        <v>0.01</v>
      </c>
      <c r="AX260" s="165">
        <f t="shared" si="666"/>
        <v>0.01</v>
      </c>
      <c r="AY260" s="165">
        <f t="shared" si="666"/>
        <v>0.01</v>
      </c>
      <c r="AZ260" s="165">
        <f t="shared" si="666"/>
        <v>0.01</v>
      </c>
      <c r="BA260" s="165">
        <f t="shared" si="666"/>
        <v>0.01</v>
      </c>
      <c r="BB260" s="165">
        <f t="shared" si="666"/>
        <v>0</v>
      </c>
      <c r="BC260" s="165">
        <f t="shared" si="666"/>
        <v>0</v>
      </c>
      <c r="BD260" s="165">
        <f t="shared" si="666"/>
        <v>0</v>
      </c>
      <c r="BE260" s="165">
        <f t="shared" si="666"/>
        <v>0</v>
      </c>
      <c r="BF260" s="165">
        <f t="shared" si="666"/>
        <v>0</v>
      </c>
      <c r="BG260" s="165">
        <f t="shared" si="666"/>
        <v>0</v>
      </c>
      <c r="BH260" s="165">
        <f t="shared" si="666"/>
        <v>0</v>
      </c>
      <c r="BI260" s="165">
        <f t="shared" si="666"/>
        <v>0</v>
      </c>
    </row>
    <row r="261" spans="1:63" s="144" customFormat="1" ht="18" customHeight="1" x14ac:dyDescent="0.25">
      <c r="A261" s="383"/>
      <c r="B261" s="384"/>
      <c r="C261" s="385" t="s">
        <v>171</v>
      </c>
      <c r="D261" s="386"/>
      <c r="E261" s="386"/>
      <c r="F261" s="386"/>
      <c r="G261" s="387"/>
      <c r="H261" s="388"/>
      <c r="I261" s="388"/>
      <c r="J261" s="389"/>
      <c r="K261" s="389"/>
      <c r="L261" s="165">
        <f t="shared" ref="L261" si="667">L260+K261</f>
        <v>0</v>
      </c>
      <c r="M261" s="165">
        <f>M260+L261</f>
        <v>0</v>
      </c>
      <c r="N261" s="165">
        <f t="shared" ref="N261:BI261" si="668">N260+M261</f>
        <v>0</v>
      </c>
      <c r="O261" s="165">
        <f t="shared" si="668"/>
        <v>0</v>
      </c>
      <c r="P261" s="165">
        <f t="shared" si="668"/>
        <v>0</v>
      </c>
      <c r="Q261" s="165">
        <f t="shared" si="668"/>
        <v>0</v>
      </c>
      <c r="R261" s="165">
        <f t="shared" si="668"/>
        <v>0</v>
      </c>
      <c r="S261" s="165">
        <f t="shared" si="668"/>
        <v>0</v>
      </c>
      <c r="T261" s="165">
        <f t="shared" si="668"/>
        <v>0</v>
      </c>
      <c r="U261" s="165">
        <f t="shared" si="668"/>
        <v>0</v>
      </c>
      <c r="V261" s="165">
        <f t="shared" si="668"/>
        <v>0</v>
      </c>
      <c r="W261" s="165">
        <f t="shared" si="668"/>
        <v>0.02</v>
      </c>
      <c r="X261" s="165">
        <f t="shared" si="668"/>
        <v>4.9999999999999996E-2</v>
      </c>
      <c r="Y261" s="165">
        <f t="shared" si="668"/>
        <v>7.9999999999999988E-2</v>
      </c>
      <c r="Z261" s="165">
        <f t="shared" si="668"/>
        <v>0.10999999999999999</v>
      </c>
      <c r="AA261" s="165">
        <f t="shared" si="668"/>
        <v>0.13999999999999999</v>
      </c>
      <c r="AB261" s="165">
        <f t="shared" si="668"/>
        <v>0.18</v>
      </c>
      <c r="AC261" s="165">
        <f t="shared" si="668"/>
        <v>0.22</v>
      </c>
      <c r="AD261" s="165">
        <f t="shared" si="668"/>
        <v>0.26</v>
      </c>
      <c r="AE261" s="165">
        <f t="shared" si="668"/>
        <v>0.3</v>
      </c>
      <c r="AF261" s="165">
        <f t="shared" si="668"/>
        <v>0.33999999999999997</v>
      </c>
      <c r="AG261" s="165">
        <f t="shared" si="668"/>
        <v>0.37999999999999995</v>
      </c>
      <c r="AH261" s="165">
        <f t="shared" si="668"/>
        <v>0.41999999999999993</v>
      </c>
      <c r="AI261" s="165">
        <f t="shared" si="668"/>
        <v>0.46999999999999992</v>
      </c>
      <c r="AJ261" s="165">
        <f t="shared" si="668"/>
        <v>0.51999999999999991</v>
      </c>
      <c r="AK261" s="165">
        <f t="shared" si="668"/>
        <v>0.54999999999999993</v>
      </c>
      <c r="AL261" s="165">
        <f t="shared" si="668"/>
        <v>0.56999999999999995</v>
      </c>
      <c r="AM261" s="165">
        <f t="shared" si="668"/>
        <v>0.59</v>
      </c>
      <c r="AN261" s="165">
        <f t="shared" si="668"/>
        <v>0.61</v>
      </c>
      <c r="AO261" s="165">
        <f t="shared" si="668"/>
        <v>0.83000000000000007</v>
      </c>
      <c r="AP261" s="165">
        <f t="shared" si="668"/>
        <v>0.85000000000000009</v>
      </c>
      <c r="AQ261" s="165">
        <f t="shared" si="668"/>
        <v>0.87000000000000011</v>
      </c>
      <c r="AR261" s="165">
        <f t="shared" si="668"/>
        <v>0.89000000000000012</v>
      </c>
      <c r="AS261" s="165">
        <f t="shared" si="668"/>
        <v>0.91000000000000014</v>
      </c>
      <c r="AT261" s="165">
        <f t="shared" si="668"/>
        <v>0.93000000000000016</v>
      </c>
      <c r="AU261" s="165">
        <f t="shared" si="668"/>
        <v>0.94000000000000017</v>
      </c>
      <c r="AV261" s="165">
        <f t="shared" si="668"/>
        <v>0.95000000000000018</v>
      </c>
      <c r="AW261" s="165">
        <f t="shared" si="668"/>
        <v>0.96000000000000019</v>
      </c>
      <c r="AX261" s="165">
        <f t="shared" si="668"/>
        <v>0.9700000000000002</v>
      </c>
      <c r="AY261" s="165">
        <f t="shared" si="668"/>
        <v>0.9800000000000002</v>
      </c>
      <c r="AZ261" s="165">
        <f t="shared" si="668"/>
        <v>0.99000000000000021</v>
      </c>
      <c r="BA261" s="165">
        <f t="shared" si="668"/>
        <v>1.0000000000000002</v>
      </c>
      <c r="BB261" s="165">
        <f t="shared" si="668"/>
        <v>1.0000000000000002</v>
      </c>
      <c r="BC261" s="165">
        <f t="shared" si="668"/>
        <v>1.0000000000000002</v>
      </c>
      <c r="BD261" s="165">
        <f t="shared" si="668"/>
        <v>1.0000000000000002</v>
      </c>
      <c r="BE261" s="165">
        <f t="shared" si="668"/>
        <v>1.0000000000000002</v>
      </c>
      <c r="BF261" s="165">
        <f t="shared" si="668"/>
        <v>1.0000000000000002</v>
      </c>
      <c r="BG261" s="165">
        <f t="shared" si="668"/>
        <v>1.0000000000000002</v>
      </c>
      <c r="BH261" s="165">
        <f t="shared" si="668"/>
        <v>1.0000000000000002</v>
      </c>
      <c r="BI261" s="165">
        <f t="shared" si="668"/>
        <v>1.0000000000000002</v>
      </c>
    </row>
    <row r="262" spans="1:63" s="140" customFormat="1" ht="10.199999999999999" x14ac:dyDescent="0.25">
      <c r="I262" s="145"/>
      <c r="J262" s="145"/>
      <c r="K262" s="145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  <c r="AC262" s="146"/>
      <c r="AD262" s="146"/>
      <c r="AE262" s="146"/>
      <c r="AF262" s="146"/>
      <c r="AG262" s="146"/>
      <c r="AH262" s="146"/>
      <c r="AI262" s="146"/>
      <c r="AJ262" s="146"/>
      <c r="AK262" s="146"/>
      <c r="AL262" s="146"/>
      <c r="AM262" s="146"/>
      <c r="AN262" s="146"/>
      <c r="AO262" s="146"/>
      <c r="AP262" s="146"/>
      <c r="AQ262" s="146"/>
      <c r="AR262" s="146"/>
      <c r="AS262" s="146"/>
      <c r="AT262" s="146"/>
      <c r="AU262" s="146"/>
      <c r="AV262" s="146"/>
      <c r="AW262" s="146"/>
      <c r="AX262" s="146"/>
      <c r="AY262" s="146"/>
      <c r="AZ262" s="146"/>
      <c r="BA262" s="146"/>
      <c r="BB262" s="146"/>
      <c r="BC262" s="146"/>
      <c r="BD262" s="146"/>
      <c r="BE262" s="146"/>
      <c r="BF262" s="146"/>
      <c r="BG262" s="146"/>
      <c r="BH262" s="146"/>
      <c r="BI262" s="146"/>
    </row>
    <row r="263" spans="1:63" s="144" customFormat="1" ht="18" customHeight="1" x14ac:dyDescent="0.25">
      <c r="A263" s="368" t="s">
        <v>224</v>
      </c>
      <c r="B263" s="369"/>
      <c r="C263" s="374" t="s">
        <v>168</v>
      </c>
      <c r="D263" s="375"/>
      <c r="E263" s="375"/>
      <c r="F263" s="375"/>
      <c r="G263" s="376"/>
      <c r="H263" s="377"/>
      <c r="I263" s="377">
        <f>SUM(I236)</f>
        <v>1285727096.3592134</v>
      </c>
      <c r="J263" s="378"/>
      <c r="K263" s="378">
        <f>K236</f>
        <v>1</v>
      </c>
      <c r="L263" s="200">
        <f t="shared" ref="L263:M263" si="669">SUMPRODUCT($I237:$I256,L237:L256)</f>
        <v>0</v>
      </c>
      <c r="M263" s="200">
        <f t="shared" si="669"/>
        <v>0</v>
      </c>
      <c r="N263" s="200">
        <f t="shared" ref="N263:BI263" si="670">SUMPRODUCT($I237:$I256,N237:N256)</f>
        <v>0</v>
      </c>
      <c r="O263" s="200">
        <f t="shared" si="670"/>
        <v>0</v>
      </c>
      <c r="P263" s="200">
        <f t="shared" si="670"/>
        <v>0</v>
      </c>
      <c r="Q263" s="200">
        <f t="shared" si="670"/>
        <v>0</v>
      </c>
      <c r="R263" s="200">
        <f t="shared" si="670"/>
        <v>0</v>
      </c>
      <c r="S263" s="200">
        <f t="shared" si="670"/>
        <v>0</v>
      </c>
      <c r="T263" s="200">
        <f t="shared" si="670"/>
        <v>0</v>
      </c>
      <c r="U263" s="200">
        <f t="shared" si="670"/>
        <v>5114379.3499999996</v>
      </c>
      <c r="V263" s="200">
        <f t="shared" si="670"/>
        <v>8471155.4409999978</v>
      </c>
      <c r="W263" s="200">
        <f t="shared" si="670"/>
        <v>34259692.291794263</v>
      </c>
      <c r="X263" s="200">
        <f t="shared" si="670"/>
        <v>46450097.265816405</v>
      </c>
      <c r="Y263" s="200">
        <f t="shared" si="670"/>
        <v>36571214.922066398</v>
      </c>
      <c r="Z263" s="200">
        <f t="shared" si="670"/>
        <v>36571214.922066398</v>
      </c>
      <c r="AA263" s="200">
        <f t="shared" si="670"/>
        <v>37370801.338066399</v>
      </c>
      <c r="AB263" s="200">
        <f t="shared" si="670"/>
        <v>48761619.896088526</v>
      </c>
      <c r="AC263" s="200">
        <f t="shared" si="670"/>
        <v>53875999.246088527</v>
      </c>
      <c r="AD263" s="200">
        <f t="shared" si="670"/>
        <v>56433188.921088524</v>
      </c>
      <c r="AE263" s="200">
        <f t="shared" si="670"/>
        <v>48761619.896088526</v>
      </c>
      <c r="AF263" s="200">
        <f t="shared" si="670"/>
        <v>48761619.896088526</v>
      </c>
      <c r="AG263" s="200">
        <f t="shared" si="670"/>
        <v>48761619.896088526</v>
      </c>
      <c r="AH263" s="200">
        <f t="shared" si="670"/>
        <v>48761619.896088526</v>
      </c>
      <c r="AI263" s="200">
        <f t="shared" si="670"/>
        <v>70830907.213860661</v>
      </c>
      <c r="AJ263" s="200">
        <f t="shared" si="670"/>
        <v>70830907.213860661</v>
      </c>
      <c r="AK263" s="200">
        <f t="shared" si="670"/>
        <v>36571214.922066398</v>
      </c>
      <c r="AL263" s="200">
        <f t="shared" si="670"/>
        <v>24380809.948044263</v>
      </c>
      <c r="AM263" s="200">
        <f t="shared" si="670"/>
        <v>24380809.948044263</v>
      </c>
      <c r="AN263" s="200">
        <f t="shared" si="670"/>
        <v>24380809.948044263</v>
      </c>
      <c r="AO263" s="200">
        <f t="shared" si="670"/>
        <v>268188909.42848691</v>
      </c>
      <c r="AP263" s="200">
        <f t="shared" si="670"/>
        <v>24380809.948044263</v>
      </c>
      <c r="AQ263" s="200">
        <f t="shared" si="670"/>
        <v>24380809.948044263</v>
      </c>
      <c r="AR263" s="200">
        <f t="shared" si="670"/>
        <v>24380809.948044263</v>
      </c>
      <c r="AS263" s="200">
        <f t="shared" si="670"/>
        <v>24380809.948044263</v>
      </c>
      <c r="AT263" s="200">
        <f t="shared" si="670"/>
        <v>24380809.948044263</v>
      </c>
      <c r="AU263" s="200">
        <f t="shared" si="670"/>
        <v>12190404.974022131</v>
      </c>
      <c r="AV263" s="200">
        <f t="shared" si="670"/>
        <v>12190404.974022131</v>
      </c>
      <c r="AW263" s="200">
        <f t="shared" si="670"/>
        <v>12190404.974022131</v>
      </c>
      <c r="AX263" s="200">
        <f t="shared" si="670"/>
        <v>12190404.974022131</v>
      </c>
      <c r="AY263" s="200">
        <f t="shared" si="670"/>
        <v>12190404.974022131</v>
      </c>
      <c r="AZ263" s="200">
        <f t="shared" si="670"/>
        <v>12190404.974022131</v>
      </c>
      <c r="BA263" s="200">
        <f t="shared" si="670"/>
        <v>12190404.974022131</v>
      </c>
      <c r="BB263" s="200">
        <f t="shared" si="670"/>
        <v>0</v>
      </c>
      <c r="BC263" s="200">
        <f t="shared" si="670"/>
        <v>0</v>
      </c>
      <c r="BD263" s="200">
        <f t="shared" si="670"/>
        <v>0</v>
      </c>
      <c r="BE263" s="200">
        <f t="shared" si="670"/>
        <v>0</v>
      </c>
      <c r="BF263" s="200">
        <f t="shared" si="670"/>
        <v>0</v>
      </c>
      <c r="BG263" s="200">
        <f t="shared" si="670"/>
        <v>0</v>
      </c>
      <c r="BH263" s="200">
        <f t="shared" si="670"/>
        <v>0</v>
      </c>
      <c r="BI263" s="200">
        <f t="shared" si="670"/>
        <v>0</v>
      </c>
    </row>
    <row r="264" spans="1:63" s="144" customFormat="1" ht="18" customHeight="1" x14ac:dyDescent="0.25">
      <c r="A264" s="370"/>
      <c r="B264" s="371"/>
      <c r="C264" s="374" t="s">
        <v>169</v>
      </c>
      <c r="D264" s="375"/>
      <c r="E264" s="375"/>
      <c r="F264" s="375"/>
      <c r="G264" s="376"/>
      <c r="H264" s="377"/>
      <c r="I264" s="377"/>
      <c r="J264" s="378"/>
      <c r="K264" s="378"/>
      <c r="L264" s="201">
        <f>L263</f>
        <v>0</v>
      </c>
      <c r="M264" s="201">
        <f>M263+L264</f>
        <v>0</v>
      </c>
      <c r="N264" s="201">
        <f t="shared" ref="N264:BI264" si="671">N263+M264</f>
        <v>0</v>
      </c>
      <c r="O264" s="201">
        <f t="shared" si="671"/>
        <v>0</v>
      </c>
      <c r="P264" s="201">
        <f t="shared" si="671"/>
        <v>0</v>
      </c>
      <c r="Q264" s="201">
        <f t="shared" si="671"/>
        <v>0</v>
      </c>
      <c r="R264" s="201">
        <f t="shared" si="671"/>
        <v>0</v>
      </c>
      <c r="S264" s="201">
        <f t="shared" si="671"/>
        <v>0</v>
      </c>
      <c r="T264" s="201">
        <f t="shared" si="671"/>
        <v>0</v>
      </c>
      <c r="U264" s="201">
        <f t="shared" si="671"/>
        <v>5114379.3499999996</v>
      </c>
      <c r="V264" s="201">
        <f t="shared" si="671"/>
        <v>13585534.790999997</v>
      </c>
      <c r="W264" s="201">
        <f t="shared" si="671"/>
        <v>47845227.082794264</v>
      </c>
      <c r="X264" s="201">
        <f t="shared" si="671"/>
        <v>94295324.348610669</v>
      </c>
      <c r="Y264" s="201">
        <f t="shared" si="671"/>
        <v>130866539.27067706</v>
      </c>
      <c r="Z264" s="201">
        <f t="shared" si="671"/>
        <v>167437754.19274345</v>
      </c>
      <c r="AA264" s="201">
        <f t="shared" si="671"/>
        <v>204808555.53080985</v>
      </c>
      <c r="AB264" s="201">
        <f t="shared" si="671"/>
        <v>253570175.42689836</v>
      </c>
      <c r="AC264" s="201">
        <f t="shared" si="671"/>
        <v>307446174.67298687</v>
      </c>
      <c r="AD264" s="201">
        <f t="shared" si="671"/>
        <v>363879363.59407538</v>
      </c>
      <c r="AE264" s="201">
        <f t="shared" si="671"/>
        <v>412640983.49016392</v>
      </c>
      <c r="AF264" s="201">
        <f t="shared" si="671"/>
        <v>461402603.38625246</v>
      </c>
      <c r="AG264" s="201">
        <f t="shared" si="671"/>
        <v>510164223.282341</v>
      </c>
      <c r="AH264" s="201">
        <f t="shared" si="671"/>
        <v>558925843.17842948</v>
      </c>
      <c r="AI264" s="201">
        <f t="shared" si="671"/>
        <v>629756750.39229012</v>
      </c>
      <c r="AJ264" s="201">
        <f t="shared" si="671"/>
        <v>700587657.60615075</v>
      </c>
      <c r="AK264" s="201">
        <f t="shared" si="671"/>
        <v>737158872.5282172</v>
      </c>
      <c r="AL264" s="201">
        <f t="shared" si="671"/>
        <v>761539682.4762615</v>
      </c>
      <c r="AM264" s="201">
        <f t="shared" si="671"/>
        <v>785920492.4243058</v>
      </c>
      <c r="AN264" s="201">
        <f t="shared" si="671"/>
        <v>810301302.3723501</v>
      </c>
      <c r="AO264" s="201">
        <f t="shared" si="671"/>
        <v>1078490211.800837</v>
      </c>
      <c r="AP264" s="201">
        <f t="shared" si="671"/>
        <v>1102871021.7488813</v>
      </c>
      <c r="AQ264" s="201">
        <f t="shared" si="671"/>
        <v>1127251831.6969256</v>
      </c>
      <c r="AR264" s="201">
        <f t="shared" si="671"/>
        <v>1151632641.6449699</v>
      </c>
      <c r="AS264" s="201">
        <f t="shared" si="671"/>
        <v>1176013451.5930142</v>
      </c>
      <c r="AT264" s="201">
        <f t="shared" si="671"/>
        <v>1200394261.5410585</v>
      </c>
      <c r="AU264" s="201">
        <f t="shared" si="671"/>
        <v>1212584666.5150807</v>
      </c>
      <c r="AV264" s="201">
        <f t="shared" si="671"/>
        <v>1224775071.4891028</v>
      </c>
      <c r="AW264" s="201">
        <f t="shared" si="671"/>
        <v>1236965476.463125</v>
      </c>
      <c r="AX264" s="201">
        <f t="shared" si="671"/>
        <v>1249155881.4371471</v>
      </c>
      <c r="AY264" s="201">
        <f t="shared" si="671"/>
        <v>1261346286.4111693</v>
      </c>
      <c r="AZ264" s="201">
        <f t="shared" si="671"/>
        <v>1273536691.3851914</v>
      </c>
      <c r="BA264" s="201">
        <f t="shared" si="671"/>
        <v>1285727096.3592136</v>
      </c>
      <c r="BB264" s="201">
        <f t="shared" si="671"/>
        <v>1285727096.3592136</v>
      </c>
      <c r="BC264" s="201">
        <f t="shared" si="671"/>
        <v>1285727096.3592136</v>
      </c>
      <c r="BD264" s="201">
        <f t="shared" si="671"/>
        <v>1285727096.3592136</v>
      </c>
      <c r="BE264" s="201">
        <f t="shared" si="671"/>
        <v>1285727096.3592136</v>
      </c>
      <c r="BF264" s="201">
        <f t="shared" si="671"/>
        <v>1285727096.3592136</v>
      </c>
      <c r="BG264" s="201">
        <f t="shared" si="671"/>
        <v>1285727096.3592136</v>
      </c>
      <c r="BH264" s="201">
        <f t="shared" si="671"/>
        <v>1285727096.3592136</v>
      </c>
      <c r="BI264" s="201">
        <f t="shared" si="671"/>
        <v>1285727096.3592136</v>
      </c>
    </row>
    <row r="265" spans="1:63" s="144" customFormat="1" ht="18" customHeight="1" x14ac:dyDescent="0.25">
      <c r="A265" s="370"/>
      <c r="B265" s="371"/>
      <c r="C265" s="374" t="s">
        <v>170</v>
      </c>
      <c r="D265" s="375"/>
      <c r="E265" s="375"/>
      <c r="F265" s="375"/>
      <c r="G265" s="376"/>
      <c r="H265" s="377"/>
      <c r="I265" s="377"/>
      <c r="J265" s="378"/>
      <c r="K265" s="378"/>
      <c r="L265" s="202">
        <f>L263/$I$263</f>
        <v>0</v>
      </c>
      <c r="M265" s="202">
        <f>M263/$I$263</f>
        <v>0</v>
      </c>
      <c r="N265" s="202">
        <f t="shared" ref="N265:BI265" si="672">N263/$I$263</f>
        <v>0</v>
      </c>
      <c r="O265" s="202">
        <f t="shared" si="672"/>
        <v>0</v>
      </c>
      <c r="P265" s="202">
        <f t="shared" si="672"/>
        <v>0</v>
      </c>
      <c r="Q265" s="202">
        <f t="shared" si="672"/>
        <v>0</v>
      </c>
      <c r="R265" s="202">
        <f t="shared" si="672"/>
        <v>0</v>
      </c>
      <c r="S265" s="202">
        <f t="shared" si="672"/>
        <v>0</v>
      </c>
      <c r="T265" s="202">
        <f t="shared" si="672"/>
        <v>0</v>
      </c>
      <c r="U265" s="202">
        <f t="shared" si="672"/>
        <v>3.9778109713036001E-3</v>
      </c>
      <c r="V265" s="202">
        <f t="shared" si="672"/>
        <v>6.5886108062805275E-3</v>
      </c>
      <c r="W265" s="202">
        <f t="shared" si="672"/>
        <v>2.6646161840103745E-2</v>
      </c>
      <c r="X265" s="202">
        <f t="shared" si="672"/>
        <v>3.6127493460586545E-2</v>
      </c>
      <c r="Y265" s="202">
        <f t="shared" si="672"/>
        <v>2.8443994861448371E-2</v>
      </c>
      <c r="Z265" s="202">
        <f t="shared" si="672"/>
        <v>2.8443994861448371E-2</v>
      </c>
      <c r="AA265" s="202">
        <f t="shared" si="672"/>
        <v>2.90658892107735E-2</v>
      </c>
      <c r="AB265" s="202">
        <f t="shared" si="672"/>
        <v>3.7925326481931157E-2</v>
      </c>
      <c r="AC265" s="202">
        <f t="shared" si="672"/>
        <v>4.1903137453234755E-2</v>
      </c>
      <c r="AD265" s="202">
        <f t="shared" si="672"/>
        <v>4.3892042938886558E-2</v>
      </c>
      <c r="AE265" s="202">
        <f t="shared" si="672"/>
        <v>3.7925326481931157E-2</v>
      </c>
      <c r="AF265" s="202">
        <f t="shared" si="672"/>
        <v>3.7925326481931157E-2</v>
      </c>
      <c r="AG265" s="202">
        <f t="shared" si="672"/>
        <v>3.7925326481931157E-2</v>
      </c>
      <c r="AH265" s="202">
        <f t="shared" si="672"/>
        <v>3.7925326481931157E-2</v>
      </c>
      <c r="AI265" s="202">
        <f t="shared" si="672"/>
        <v>5.5090156701552116E-2</v>
      </c>
      <c r="AJ265" s="202">
        <f t="shared" si="672"/>
        <v>5.5090156701552116E-2</v>
      </c>
      <c r="AK265" s="202">
        <f t="shared" si="672"/>
        <v>2.8443994861448371E-2</v>
      </c>
      <c r="AL265" s="202">
        <f t="shared" si="672"/>
        <v>1.8962663240965578E-2</v>
      </c>
      <c r="AM265" s="202">
        <f t="shared" si="672"/>
        <v>1.8962663240965578E-2</v>
      </c>
      <c r="AN265" s="202">
        <f t="shared" si="672"/>
        <v>1.8962663240965578E-2</v>
      </c>
      <c r="AO265" s="202">
        <f t="shared" si="672"/>
        <v>0.20858929565062137</v>
      </c>
      <c r="AP265" s="202">
        <f t="shared" si="672"/>
        <v>1.8962663240965578E-2</v>
      </c>
      <c r="AQ265" s="202">
        <f t="shared" si="672"/>
        <v>1.8962663240965578E-2</v>
      </c>
      <c r="AR265" s="202">
        <f t="shared" si="672"/>
        <v>1.8962663240965578E-2</v>
      </c>
      <c r="AS265" s="202">
        <f t="shared" si="672"/>
        <v>1.8962663240965578E-2</v>
      </c>
      <c r="AT265" s="202">
        <f t="shared" si="672"/>
        <v>1.8962663240965578E-2</v>
      </c>
      <c r="AU265" s="202">
        <f t="shared" si="672"/>
        <v>9.4813316204827892E-3</v>
      </c>
      <c r="AV265" s="202">
        <f t="shared" si="672"/>
        <v>9.4813316204827892E-3</v>
      </c>
      <c r="AW265" s="202">
        <f t="shared" si="672"/>
        <v>9.4813316204827892E-3</v>
      </c>
      <c r="AX265" s="202">
        <f t="shared" si="672"/>
        <v>9.4813316204827892E-3</v>
      </c>
      <c r="AY265" s="202">
        <f t="shared" si="672"/>
        <v>9.4813316204827892E-3</v>
      </c>
      <c r="AZ265" s="202">
        <f t="shared" si="672"/>
        <v>9.4813316204827892E-3</v>
      </c>
      <c r="BA265" s="202">
        <f t="shared" si="672"/>
        <v>9.4813316204827892E-3</v>
      </c>
      <c r="BB265" s="202">
        <f t="shared" si="672"/>
        <v>0</v>
      </c>
      <c r="BC265" s="202">
        <f t="shared" si="672"/>
        <v>0</v>
      </c>
      <c r="BD265" s="202">
        <f t="shared" si="672"/>
        <v>0</v>
      </c>
      <c r="BE265" s="202">
        <f t="shared" si="672"/>
        <v>0</v>
      </c>
      <c r="BF265" s="202">
        <f t="shared" si="672"/>
        <v>0</v>
      </c>
      <c r="BG265" s="202">
        <f t="shared" si="672"/>
        <v>0</v>
      </c>
      <c r="BH265" s="202">
        <f t="shared" si="672"/>
        <v>0</v>
      </c>
      <c r="BI265" s="202">
        <f t="shared" si="672"/>
        <v>0</v>
      </c>
    </row>
    <row r="266" spans="1:63" s="144" customFormat="1" ht="18" customHeight="1" x14ac:dyDescent="0.25">
      <c r="A266" s="372"/>
      <c r="B266" s="373"/>
      <c r="C266" s="374" t="s">
        <v>171</v>
      </c>
      <c r="D266" s="375"/>
      <c r="E266" s="375"/>
      <c r="F266" s="375"/>
      <c r="G266" s="376"/>
      <c r="H266" s="377"/>
      <c r="I266" s="377"/>
      <c r="J266" s="378"/>
      <c r="K266" s="378"/>
      <c r="L266" s="202">
        <f>L265</f>
        <v>0</v>
      </c>
      <c r="M266" s="202">
        <f t="shared" ref="M266" si="673">M265+L266</f>
        <v>0</v>
      </c>
      <c r="N266" s="202">
        <f t="shared" ref="N266" si="674">N265+M266</f>
        <v>0</v>
      </c>
      <c r="O266" s="202">
        <f t="shared" ref="O266" si="675">O265+N266</f>
        <v>0</v>
      </c>
      <c r="P266" s="202">
        <f t="shared" ref="P266" si="676">P265+O266</f>
        <v>0</v>
      </c>
      <c r="Q266" s="202">
        <f t="shared" ref="Q266" si="677">Q265+P266</f>
        <v>0</v>
      </c>
      <c r="R266" s="202">
        <f t="shared" ref="R266" si="678">R265+Q266</f>
        <v>0</v>
      </c>
      <c r="S266" s="202">
        <f t="shared" ref="S266" si="679">S265+R266</f>
        <v>0</v>
      </c>
      <c r="T266" s="202">
        <f t="shared" ref="T266" si="680">T265+S266</f>
        <v>0</v>
      </c>
      <c r="U266" s="202">
        <f t="shared" ref="U266" si="681">U265+T266</f>
        <v>3.9778109713036001E-3</v>
      </c>
      <c r="V266" s="202">
        <f t="shared" ref="V266" si="682">V265+U266</f>
        <v>1.0566421777584128E-2</v>
      </c>
      <c r="W266" s="202">
        <f t="shared" ref="W266" si="683">W265+V266</f>
        <v>3.7212583617687874E-2</v>
      </c>
      <c r="X266" s="202">
        <f t="shared" ref="X266" si="684">X265+W266</f>
        <v>7.3340077078274418E-2</v>
      </c>
      <c r="Y266" s="202">
        <f t="shared" ref="Y266" si="685">Y265+X266</f>
        <v>0.10178407193972279</v>
      </c>
      <c r="Z266" s="202">
        <f t="shared" ref="Z266" si="686">Z265+Y266</f>
        <v>0.13022806680117116</v>
      </c>
      <c r="AA266" s="202">
        <f t="shared" ref="AA266" si="687">AA265+Z266</f>
        <v>0.15929395601194465</v>
      </c>
      <c r="AB266" s="202">
        <f t="shared" ref="AB266" si="688">AB265+AA266</f>
        <v>0.19721928249387582</v>
      </c>
      <c r="AC266" s="202">
        <f t="shared" ref="AC266" si="689">AC265+AB266</f>
        <v>0.23912241994711059</v>
      </c>
      <c r="AD266" s="202">
        <f t="shared" ref="AD266" si="690">AD265+AC266</f>
        <v>0.28301446288599713</v>
      </c>
      <c r="AE266" s="202">
        <f t="shared" ref="AE266" si="691">AE265+AD266</f>
        <v>0.32093978936792827</v>
      </c>
      <c r="AF266" s="202">
        <f t="shared" ref="AF266" si="692">AF265+AE266</f>
        <v>0.35886511584985942</v>
      </c>
      <c r="AG266" s="202">
        <f t="shared" ref="AG266" si="693">AG265+AF266</f>
        <v>0.39679044233179056</v>
      </c>
      <c r="AH266" s="202">
        <f t="shared" ref="AH266" si="694">AH265+AG266</f>
        <v>0.4347157688137217</v>
      </c>
      <c r="AI266" s="202">
        <f t="shared" ref="AI266" si="695">AI265+AH266</f>
        <v>0.4898059255152738</v>
      </c>
      <c r="AJ266" s="202">
        <f t="shared" ref="AJ266" si="696">AJ265+AI266</f>
        <v>0.54489608221682595</v>
      </c>
      <c r="AK266" s="202">
        <f t="shared" ref="AK266" si="697">AK265+AJ266</f>
        <v>0.57334007707827428</v>
      </c>
      <c r="AL266" s="202">
        <f t="shared" ref="AL266" si="698">AL265+AK266</f>
        <v>0.59230274031923991</v>
      </c>
      <c r="AM266" s="202">
        <f t="shared" ref="AM266" si="699">AM265+AL266</f>
        <v>0.61126540356020553</v>
      </c>
      <c r="AN266" s="202">
        <f t="shared" ref="AN266" si="700">AN265+AM266</f>
        <v>0.63022806680117116</v>
      </c>
      <c r="AO266" s="202">
        <f t="shared" ref="AO266" si="701">AO265+AN266</f>
        <v>0.8388173624517925</v>
      </c>
      <c r="AP266" s="202">
        <f t="shared" ref="AP266" si="702">AP265+AO266</f>
        <v>0.85778002569275813</v>
      </c>
      <c r="AQ266" s="202">
        <f t="shared" ref="AQ266" si="703">AQ265+AP266</f>
        <v>0.87674268893372376</v>
      </c>
      <c r="AR266" s="202">
        <f t="shared" ref="AR266" si="704">AR265+AQ266</f>
        <v>0.89570535217468938</v>
      </c>
      <c r="AS266" s="202">
        <f t="shared" ref="AS266" si="705">AS265+AR266</f>
        <v>0.91466801541565501</v>
      </c>
      <c r="AT266" s="202">
        <f t="shared" ref="AT266" si="706">AT265+AS266</f>
        <v>0.93363067865662064</v>
      </c>
      <c r="AU266" s="202">
        <f t="shared" ref="AU266" si="707">AU265+AT266</f>
        <v>0.94311201027710345</v>
      </c>
      <c r="AV266" s="202">
        <f t="shared" ref="AV266" si="708">AV265+AU266</f>
        <v>0.95259334189758627</v>
      </c>
      <c r="AW266" s="202">
        <f t="shared" ref="AW266" si="709">AW265+AV266</f>
        <v>0.96207467351806908</v>
      </c>
      <c r="AX266" s="202">
        <f t="shared" ref="AX266" si="710">AX265+AW266</f>
        <v>0.97155600513855189</v>
      </c>
      <c r="AY266" s="202">
        <f t="shared" ref="AY266" si="711">AY265+AX266</f>
        <v>0.98103733675903471</v>
      </c>
      <c r="AZ266" s="202">
        <f t="shared" ref="AZ266" si="712">AZ265+AY266</f>
        <v>0.99051866837951752</v>
      </c>
      <c r="BA266" s="202">
        <f t="shared" ref="BA266" si="713">BA265+AZ266</f>
        <v>1.0000000000000002</v>
      </c>
      <c r="BB266" s="202">
        <f t="shared" ref="BB266" si="714">BB265+BA266</f>
        <v>1.0000000000000002</v>
      </c>
      <c r="BC266" s="202">
        <f t="shared" ref="BC266" si="715">BC265+BB266</f>
        <v>1.0000000000000002</v>
      </c>
      <c r="BD266" s="202">
        <f t="shared" ref="BD266" si="716">BD265+BC266</f>
        <v>1.0000000000000002</v>
      </c>
      <c r="BE266" s="202">
        <f t="shared" ref="BE266" si="717">BE265+BD266</f>
        <v>1.0000000000000002</v>
      </c>
      <c r="BF266" s="202">
        <f t="shared" ref="BF266" si="718">BF265+BE266</f>
        <v>1.0000000000000002</v>
      </c>
      <c r="BG266" s="202">
        <f t="shared" ref="BG266" si="719">BG265+BF266</f>
        <v>1.0000000000000002</v>
      </c>
      <c r="BH266" s="202">
        <f t="shared" ref="BH266" si="720">BH265+BG266</f>
        <v>1.0000000000000002</v>
      </c>
      <c r="BI266" s="202">
        <f t="shared" ref="BI266" si="721">BI265+BH266</f>
        <v>1.0000000000000002</v>
      </c>
    </row>
    <row r="267" spans="1:63" s="140" customFormat="1" ht="10.199999999999999" x14ac:dyDescent="0.25">
      <c r="I267" s="145"/>
      <c r="J267" s="145"/>
      <c r="K267" s="145"/>
      <c r="L267" s="146"/>
      <c r="M267" s="146"/>
      <c r="N267" s="146"/>
      <c r="O267" s="146"/>
      <c r="P267" s="146"/>
      <c r="Q267" s="146"/>
      <c r="R267" s="146"/>
      <c r="S267" s="146"/>
      <c r="T267" s="139"/>
      <c r="U267" s="139"/>
      <c r="V267" s="139"/>
      <c r="W267" s="139"/>
      <c r="X267" s="139"/>
      <c r="Y267" s="139"/>
      <c r="Z267" s="139"/>
      <c r="AA267" s="139"/>
      <c r="AB267" s="139"/>
      <c r="AC267" s="139"/>
      <c r="AD267" s="139"/>
      <c r="AE267" s="139"/>
      <c r="AF267" s="139"/>
      <c r="AG267" s="139"/>
      <c r="AH267" s="139"/>
      <c r="AI267" s="139"/>
      <c r="AJ267" s="139"/>
      <c r="AK267" s="139"/>
      <c r="AL267" s="139"/>
      <c r="AM267" s="139"/>
      <c r="AN267" s="139"/>
      <c r="AO267" s="139"/>
      <c r="AP267" s="139"/>
      <c r="AQ267" s="139"/>
      <c r="AR267" s="139"/>
      <c r="AS267" s="139"/>
      <c r="AT267" s="139"/>
      <c r="AU267" s="139"/>
      <c r="AV267" s="139"/>
      <c r="AW267" s="139"/>
      <c r="AX267" s="139"/>
      <c r="AY267" s="139"/>
      <c r="AZ267" s="139"/>
      <c r="BA267" s="139"/>
      <c r="BB267" s="139"/>
      <c r="BC267" s="139"/>
      <c r="BD267" s="139"/>
      <c r="BE267" s="139"/>
      <c r="BF267" s="139"/>
      <c r="BG267" s="139"/>
      <c r="BH267" s="139"/>
      <c r="BI267" s="139"/>
    </row>
    <row r="268" spans="1:63" s="47" customFormat="1" ht="21.75" customHeight="1" x14ac:dyDescent="0.25">
      <c r="A268" s="155" t="s">
        <v>109</v>
      </c>
      <c r="B268" s="203" t="s">
        <v>268</v>
      </c>
      <c r="C268" s="156"/>
      <c r="D268" s="156"/>
      <c r="E268" s="157"/>
      <c r="F268" s="216">
        <f>SUM(F270:F271)</f>
        <v>0</v>
      </c>
      <c r="G268" s="216">
        <f>SUM(G270:G271)</f>
        <v>0</v>
      </c>
      <c r="H268" s="213">
        <f>SUM(H270:H271)</f>
        <v>0</v>
      </c>
      <c r="I268" s="213">
        <f>SUM(I269,I273)</f>
        <v>34000000</v>
      </c>
      <c r="J268" s="198">
        <f>H268/$H$83</f>
        <v>0</v>
      </c>
      <c r="K268" s="198">
        <f>I268/$I$283</f>
        <v>1</v>
      </c>
      <c r="L268" s="158"/>
      <c r="M268" s="159"/>
      <c r="N268" s="159"/>
      <c r="O268" s="159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  <c r="AA268" s="160"/>
      <c r="AB268" s="160"/>
      <c r="AC268" s="160"/>
      <c r="AD268" s="160"/>
      <c r="AE268" s="160"/>
      <c r="AF268" s="160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61"/>
      <c r="AQ268" s="161"/>
      <c r="AR268" s="161"/>
      <c r="AS268" s="161"/>
      <c r="AT268" s="161"/>
      <c r="AU268" s="161"/>
      <c r="AV268" s="161"/>
      <c r="AW268" s="161"/>
      <c r="AX268" s="161"/>
      <c r="AY268" s="161"/>
      <c r="AZ268" s="161"/>
      <c r="BA268" s="161"/>
      <c r="BB268" s="161"/>
      <c r="BC268" s="161"/>
      <c r="BD268" s="161"/>
      <c r="BE268" s="161"/>
      <c r="BF268" s="161"/>
      <c r="BG268" s="161"/>
      <c r="BH268" s="161"/>
      <c r="BI268" s="162"/>
      <c r="BJ268" s="119">
        <f>SUM(L268:BI268)</f>
        <v>0</v>
      </c>
      <c r="BK268" s="33"/>
    </row>
    <row r="269" spans="1:63" ht="21.75" customHeight="1" x14ac:dyDescent="0.25">
      <c r="A269" s="193"/>
      <c r="B269" s="227" t="s">
        <v>257</v>
      </c>
      <c r="C269" s="197"/>
      <c r="D269" s="188"/>
      <c r="E269" s="189"/>
      <c r="F269" s="190"/>
      <c r="G269" s="190"/>
      <c r="H269" s="191"/>
      <c r="I269" s="192">
        <f>SUM(I270:I271)</f>
        <v>19000000</v>
      </c>
      <c r="J269" s="205"/>
      <c r="K269" s="205"/>
      <c r="L269" s="114"/>
      <c r="M269" s="115"/>
      <c r="N269" s="115"/>
      <c r="O269" s="115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  <c r="AB269" s="116"/>
      <c r="AC269" s="116"/>
      <c r="AD269" s="116"/>
      <c r="AE269" s="116"/>
      <c r="AF269" s="116"/>
      <c r="AG269" s="117"/>
      <c r="AH269" s="117"/>
      <c r="AI269" s="117"/>
      <c r="AJ269" s="117"/>
      <c r="AK269" s="117"/>
      <c r="AL269" s="117"/>
      <c r="AM269" s="117"/>
      <c r="AN269" s="117"/>
      <c r="AO269" s="117"/>
      <c r="AP269" s="117"/>
      <c r="AQ269" s="117"/>
      <c r="AR269" s="117"/>
      <c r="AS269" s="117"/>
      <c r="AT269" s="117"/>
      <c r="AU269" s="117"/>
      <c r="AV269" s="117"/>
      <c r="AW269" s="117"/>
      <c r="AX269" s="117"/>
      <c r="AY269" s="117"/>
      <c r="AZ269" s="117"/>
      <c r="BA269" s="117"/>
      <c r="BB269" s="117"/>
      <c r="BC269" s="117"/>
      <c r="BD269" s="117"/>
      <c r="BE269" s="117"/>
      <c r="BF269" s="117"/>
      <c r="BG269" s="117"/>
      <c r="BH269" s="117"/>
      <c r="BI269" s="118"/>
      <c r="BJ269" s="119"/>
      <c r="BK269" s="11"/>
    </row>
    <row r="270" spans="1:63" ht="21.75" customHeight="1" outlineLevel="1" x14ac:dyDescent="0.25">
      <c r="A270" s="209"/>
      <c r="B270" s="210" t="s">
        <v>255</v>
      </c>
      <c r="C270" s="220" t="s">
        <v>258</v>
      </c>
      <c r="D270" s="148">
        <f>Empreendimentos!L176</f>
        <v>0</v>
      </c>
      <c r="E270" s="173"/>
      <c r="F270" s="149">
        <f>Empreendimentos!H176</f>
        <v>0</v>
      </c>
      <c r="G270" s="149">
        <f>Empreendimentos!I176</f>
        <v>0</v>
      </c>
      <c r="H270" s="179"/>
      <c r="I270" s="180">
        <v>12000000</v>
      </c>
      <c r="J270" s="204">
        <f>H270/$H$83</f>
        <v>0</v>
      </c>
      <c r="K270" s="204">
        <f>I270/$I$283</f>
        <v>0.35294117647058826</v>
      </c>
      <c r="L270" s="123"/>
      <c r="M270" s="124">
        <f>'Cronogramaa Fisico'!E27</f>
        <v>0</v>
      </c>
      <c r="N270" s="124">
        <f>'Cronogramaa Fisico'!F27</f>
        <v>0.4</v>
      </c>
      <c r="O270" s="124">
        <v>0.6</v>
      </c>
      <c r="P270" s="124">
        <f>'Cronogramaa Fisico'!H27</f>
        <v>0</v>
      </c>
      <c r="Q270" s="124">
        <f>'Cronogramaa Fisico'!I27</f>
        <v>0</v>
      </c>
      <c r="R270" s="124">
        <f>'Cronogramaa Fisico'!J27</f>
        <v>0</v>
      </c>
      <c r="S270" s="124">
        <f>'Cronogramaa Fisico'!K27</f>
        <v>0</v>
      </c>
      <c r="T270" s="124">
        <f>'Cronogramaa Fisico'!L27</f>
        <v>0</v>
      </c>
      <c r="U270" s="124">
        <f>'Cronogramaa Fisico'!M27</f>
        <v>0</v>
      </c>
      <c r="V270" s="124">
        <f>'Cronogramaa Fisico'!N27</f>
        <v>0</v>
      </c>
      <c r="W270" s="124">
        <f>'Cronogramaa Fisico'!O27</f>
        <v>0</v>
      </c>
      <c r="X270" s="124">
        <f>'Cronogramaa Fisico'!P27</f>
        <v>0</v>
      </c>
      <c r="Y270" s="124">
        <f>'Cronogramaa Fisico'!Q27</f>
        <v>0</v>
      </c>
      <c r="Z270" s="124">
        <f>'Cronogramaa Fisico'!R27</f>
        <v>0</v>
      </c>
      <c r="AA270" s="124">
        <f>'Cronogramaa Fisico'!S27</f>
        <v>0</v>
      </c>
      <c r="AB270" s="124">
        <f>'Cronogramaa Fisico'!T27</f>
        <v>0</v>
      </c>
      <c r="AC270" s="124">
        <f>'Cronogramaa Fisico'!U27</f>
        <v>0</v>
      </c>
      <c r="AD270" s="124">
        <f>'Cronogramaa Fisico'!V27</f>
        <v>0</v>
      </c>
      <c r="AE270" s="124">
        <f>'Cronogramaa Fisico'!W27</f>
        <v>0</v>
      </c>
      <c r="AF270" s="124">
        <f>'Cronogramaa Fisico'!X27</f>
        <v>0</v>
      </c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126"/>
      <c r="AS270" s="126"/>
      <c r="AT270" s="126"/>
      <c r="AU270" s="126"/>
      <c r="AV270" s="126"/>
      <c r="AW270" s="126"/>
      <c r="AX270" s="126"/>
      <c r="AY270" s="126"/>
      <c r="AZ270" s="126"/>
      <c r="BA270" s="126"/>
      <c r="BB270" s="126"/>
      <c r="BC270" s="126"/>
      <c r="BD270" s="126"/>
      <c r="BE270" s="126"/>
      <c r="BF270" s="126"/>
      <c r="BG270" s="126"/>
      <c r="BH270" s="126"/>
      <c r="BI270" s="127"/>
      <c r="BJ270" s="119">
        <f>SUM(L270:BI270)</f>
        <v>1</v>
      </c>
    </row>
    <row r="271" spans="1:63" ht="21.75" customHeight="1" outlineLevel="1" x14ac:dyDescent="0.25">
      <c r="A271" s="209"/>
      <c r="B271" s="219" t="s">
        <v>256</v>
      </c>
      <c r="C271" s="220" t="s">
        <v>294</v>
      </c>
      <c r="D271" s="148"/>
      <c r="E271" s="173"/>
      <c r="F271" s="149"/>
      <c r="G271" s="149">
        <f>Empreendimentos!D177</f>
        <v>0</v>
      </c>
      <c r="H271" s="179"/>
      <c r="I271" s="180">
        <v>7000000</v>
      </c>
      <c r="J271" s="204">
        <f>H271/$H$83</f>
        <v>0</v>
      </c>
      <c r="K271" s="204">
        <f>I271/$I$283</f>
        <v>0.20588235294117646</v>
      </c>
      <c r="L271" s="123"/>
      <c r="M271" s="124">
        <f>'Cronogramaa Fisico'!E28</f>
        <v>0</v>
      </c>
      <c r="N271" s="124">
        <f>'Cronogramaa Fisico'!F28</f>
        <v>0</v>
      </c>
      <c r="O271" s="124">
        <v>0.4</v>
      </c>
      <c r="P271" s="124">
        <f>'Cronogramaa Fisico'!H28</f>
        <v>0.6</v>
      </c>
      <c r="Q271" s="124">
        <f>'Cronogramaa Fisico'!I28</f>
        <v>0</v>
      </c>
      <c r="R271" s="124">
        <f>'Cronogramaa Fisico'!J28</f>
        <v>0</v>
      </c>
      <c r="S271" s="124">
        <f>'Cronogramaa Fisico'!K28</f>
        <v>0</v>
      </c>
      <c r="T271" s="124">
        <f>'Cronogramaa Fisico'!L28</f>
        <v>0</v>
      </c>
      <c r="U271" s="124">
        <f>'Cronogramaa Fisico'!M28</f>
        <v>0</v>
      </c>
      <c r="V271" s="124">
        <f>'Cronogramaa Fisico'!N28</f>
        <v>0</v>
      </c>
      <c r="W271" s="124">
        <f>'Cronogramaa Fisico'!O28</f>
        <v>0</v>
      </c>
      <c r="X271" s="124">
        <f>'Cronogramaa Fisico'!P28</f>
        <v>0</v>
      </c>
      <c r="Y271" s="124">
        <f>'Cronogramaa Fisico'!Q28</f>
        <v>0</v>
      </c>
      <c r="Z271" s="124">
        <f>'Cronogramaa Fisico'!R28</f>
        <v>0</v>
      </c>
      <c r="AA271" s="124">
        <f>'Cronogramaa Fisico'!S28</f>
        <v>0</v>
      </c>
      <c r="AB271" s="124">
        <f>'Cronogramaa Fisico'!T28</f>
        <v>0</v>
      </c>
      <c r="AC271" s="124">
        <f>'Cronogramaa Fisico'!U28</f>
        <v>0</v>
      </c>
      <c r="AD271" s="124">
        <f>'Cronogramaa Fisico'!V28</f>
        <v>0</v>
      </c>
      <c r="AE271" s="124">
        <f>'Cronogramaa Fisico'!W28</f>
        <v>0</v>
      </c>
      <c r="AF271" s="124">
        <f>'Cronogramaa Fisico'!X28</f>
        <v>0</v>
      </c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126"/>
      <c r="AS271" s="126"/>
      <c r="AT271" s="126"/>
      <c r="AU271" s="126"/>
      <c r="AV271" s="126"/>
      <c r="AW271" s="126"/>
      <c r="AX271" s="126"/>
      <c r="AY271" s="126"/>
      <c r="AZ271" s="126"/>
      <c r="BA271" s="126"/>
      <c r="BB271" s="126"/>
      <c r="BC271" s="126"/>
      <c r="BD271" s="126"/>
      <c r="BE271" s="126"/>
      <c r="BF271" s="126"/>
      <c r="BG271" s="126"/>
      <c r="BH271" s="126"/>
      <c r="BI271" s="127"/>
      <c r="BJ271" s="119">
        <f>SUM(L271:BI271)</f>
        <v>1</v>
      </c>
    </row>
    <row r="272" spans="1:63" ht="9.6" customHeight="1" x14ac:dyDescent="0.25">
      <c r="A272" s="120"/>
      <c r="B272" s="219"/>
      <c r="C272" s="174"/>
      <c r="D272" s="148"/>
      <c r="E272" s="173"/>
      <c r="F272" s="149"/>
      <c r="G272" s="149"/>
      <c r="H272" s="179"/>
      <c r="I272" s="180"/>
      <c r="J272" s="204"/>
      <c r="K272" s="204"/>
      <c r="L272" s="123"/>
      <c r="M272" s="124"/>
      <c r="N272" s="124"/>
      <c r="O272" s="128"/>
      <c r="P272" s="128"/>
      <c r="Q272" s="128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5"/>
      <c r="AE272" s="125"/>
      <c r="AF272" s="125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126"/>
      <c r="AS272" s="126"/>
      <c r="AT272" s="126"/>
      <c r="AU272" s="126"/>
      <c r="AV272" s="126"/>
      <c r="AW272" s="126"/>
      <c r="AX272" s="126"/>
      <c r="AY272" s="126"/>
      <c r="AZ272" s="126"/>
      <c r="BA272" s="126"/>
      <c r="BB272" s="126"/>
      <c r="BC272" s="126"/>
      <c r="BD272" s="126"/>
      <c r="BE272" s="126"/>
      <c r="BF272" s="126"/>
      <c r="BG272" s="126"/>
      <c r="BH272" s="126"/>
      <c r="BI272" s="127"/>
      <c r="BJ272" s="119"/>
    </row>
    <row r="273" spans="1:63" ht="21.75" customHeight="1" x14ac:dyDescent="0.25">
      <c r="A273" s="193"/>
      <c r="B273" s="227" t="s">
        <v>269</v>
      </c>
      <c r="C273" s="197"/>
      <c r="D273" s="188"/>
      <c r="E273" s="189"/>
      <c r="F273" s="190"/>
      <c r="G273" s="190"/>
      <c r="H273" s="191"/>
      <c r="I273" s="192">
        <f>SUM(I274:I275)</f>
        <v>15000000</v>
      </c>
      <c r="J273" s="205"/>
      <c r="K273" s="205"/>
      <c r="L273" s="114"/>
      <c r="M273" s="115"/>
      <c r="N273" s="115"/>
      <c r="O273" s="115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  <c r="AB273" s="116"/>
      <c r="AC273" s="116"/>
      <c r="AD273" s="116"/>
      <c r="AE273" s="116"/>
      <c r="AF273" s="116"/>
      <c r="AG273" s="117"/>
      <c r="AH273" s="117"/>
      <c r="AI273" s="117"/>
      <c r="AJ273" s="117"/>
      <c r="AK273" s="117"/>
      <c r="AL273" s="117"/>
      <c r="AM273" s="117"/>
      <c r="AN273" s="117"/>
      <c r="AO273" s="117"/>
      <c r="AP273" s="117"/>
      <c r="AQ273" s="117"/>
      <c r="AR273" s="117"/>
      <c r="AS273" s="117"/>
      <c r="AT273" s="117"/>
      <c r="AU273" s="117"/>
      <c r="AV273" s="117"/>
      <c r="AW273" s="117"/>
      <c r="AX273" s="117"/>
      <c r="AY273" s="117"/>
      <c r="AZ273" s="117"/>
      <c r="BA273" s="117"/>
      <c r="BB273" s="117"/>
      <c r="BC273" s="117"/>
      <c r="BD273" s="117"/>
      <c r="BE273" s="117"/>
      <c r="BF273" s="117"/>
      <c r="BG273" s="117"/>
      <c r="BH273" s="117"/>
      <c r="BI273" s="118"/>
      <c r="BJ273" s="119"/>
      <c r="BK273" s="11"/>
    </row>
    <row r="274" spans="1:63" ht="21.75" customHeight="1" outlineLevel="1" x14ac:dyDescent="0.25">
      <c r="A274" s="209"/>
      <c r="B274" s="210" t="s">
        <v>255</v>
      </c>
      <c r="C274" s="220" t="s">
        <v>258</v>
      </c>
      <c r="D274" s="148">
        <f>Empreendimentos!L180</f>
        <v>0</v>
      </c>
      <c r="E274" s="173"/>
      <c r="F274" s="149">
        <f>Empreendimentos!H180</f>
        <v>0</v>
      </c>
      <c r="G274" s="149">
        <f>Empreendimentos!I180</f>
        <v>0</v>
      </c>
      <c r="H274" s="179"/>
      <c r="I274" s="180">
        <v>10000000</v>
      </c>
      <c r="J274" s="204">
        <f>H274/$H$83</f>
        <v>0</v>
      </c>
      <c r="K274" s="204">
        <f>I274/$I$283</f>
        <v>0.29411764705882354</v>
      </c>
      <c r="L274" s="123"/>
      <c r="M274" s="124">
        <f>'Cronogramaa Fisico'!E30</f>
        <v>0</v>
      </c>
      <c r="N274" s="124">
        <f>'Cronogramaa Fisico'!F30</f>
        <v>0</v>
      </c>
      <c r="O274" s="124">
        <f>'Cronogramaa Fisico'!G30</f>
        <v>0</v>
      </c>
      <c r="P274" s="124">
        <f>'Cronogramaa Fisico'!H30</f>
        <v>0</v>
      </c>
      <c r="Q274" s="124">
        <f>'Cronogramaa Fisico'!I30</f>
        <v>0</v>
      </c>
      <c r="R274" s="124">
        <f>'Cronogramaa Fisico'!J30</f>
        <v>0</v>
      </c>
      <c r="S274" s="124">
        <f>'Cronogramaa Fisico'!K30</f>
        <v>0.3</v>
      </c>
      <c r="T274" s="124">
        <f>'Cronogramaa Fisico'!L30</f>
        <v>0.7</v>
      </c>
      <c r="U274" s="124">
        <f>'Cronogramaa Fisico'!M30</f>
        <v>0</v>
      </c>
      <c r="V274" s="124">
        <f>'Cronogramaa Fisico'!N30</f>
        <v>0</v>
      </c>
      <c r="W274" s="124">
        <f>'Cronogramaa Fisico'!O30</f>
        <v>0</v>
      </c>
      <c r="X274" s="124">
        <f>'Cronogramaa Fisico'!P30</f>
        <v>0</v>
      </c>
      <c r="Y274" s="124">
        <f>'Cronogramaa Fisico'!Q30</f>
        <v>0</v>
      </c>
      <c r="Z274" s="124">
        <f>'Cronogramaa Fisico'!R30</f>
        <v>0</v>
      </c>
      <c r="AA274" s="124">
        <f>'Cronogramaa Fisico'!S30</f>
        <v>0</v>
      </c>
      <c r="AB274" s="124">
        <f>'Cronogramaa Fisico'!T30</f>
        <v>0</v>
      </c>
      <c r="AC274" s="124">
        <f>'Cronogramaa Fisico'!U30</f>
        <v>0</v>
      </c>
      <c r="AD274" s="124">
        <f>'Cronogramaa Fisico'!V30</f>
        <v>0</v>
      </c>
      <c r="AE274" s="124">
        <f>'Cronogramaa Fisico'!W30</f>
        <v>0</v>
      </c>
      <c r="AF274" s="124">
        <f>'Cronogramaa Fisico'!X30</f>
        <v>0</v>
      </c>
      <c r="AG274" s="124">
        <f>'Cronogramaa Fisico'!Y30</f>
        <v>0</v>
      </c>
      <c r="AH274" s="124">
        <f>'Cronogramaa Fisico'!Z30</f>
        <v>0</v>
      </c>
      <c r="AI274" s="124">
        <f>'Cronogramaa Fisico'!AA30</f>
        <v>0</v>
      </c>
      <c r="AJ274" s="124">
        <f>'Cronogramaa Fisico'!AB30</f>
        <v>0</v>
      </c>
      <c r="AK274" s="124">
        <f>'Cronogramaa Fisico'!AC30</f>
        <v>0</v>
      </c>
      <c r="AL274" s="124">
        <f>'Cronogramaa Fisico'!AD30</f>
        <v>0</v>
      </c>
      <c r="AM274" s="124">
        <f>'Cronogramaa Fisico'!AE30</f>
        <v>0</v>
      </c>
      <c r="AN274" s="124">
        <f>'Cronogramaa Fisico'!AF30</f>
        <v>0</v>
      </c>
      <c r="AO274" s="124">
        <f>'Cronogramaa Fisico'!AG30</f>
        <v>0</v>
      </c>
      <c r="AP274" s="124">
        <f>'Cronogramaa Fisico'!AH30</f>
        <v>0</v>
      </c>
      <c r="AQ274" s="124">
        <f>'Cronogramaa Fisico'!AI30</f>
        <v>0</v>
      </c>
      <c r="AR274" s="124">
        <f>'Cronogramaa Fisico'!AJ30</f>
        <v>0</v>
      </c>
      <c r="AS274" s="124">
        <f>'Cronogramaa Fisico'!AK30</f>
        <v>0</v>
      </c>
      <c r="AT274" s="124">
        <f>'Cronogramaa Fisico'!AL30</f>
        <v>0</v>
      </c>
      <c r="AU274" s="124">
        <f>'Cronogramaa Fisico'!AM30</f>
        <v>0</v>
      </c>
      <c r="AV274" s="124">
        <f>'Cronogramaa Fisico'!AN30</f>
        <v>0</v>
      </c>
      <c r="AW274" s="124">
        <f>'Cronogramaa Fisico'!AO30</f>
        <v>0</v>
      </c>
      <c r="AX274" s="124">
        <f>'Cronogramaa Fisico'!AP30</f>
        <v>0</v>
      </c>
      <c r="AY274" s="124">
        <f>'Cronogramaa Fisico'!AQ30</f>
        <v>0</v>
      </c>
      <c r="AZ274" s="124">
        <f>'Cronogramaa Fisico'!AR30</f>
        <v>0</v>
      </c>
      <c r="BA274" s="124">
        <f>'Cronogramaa Fisico'!AS30</f>
        <v>0</v>
      </c>
      <c r="BB274" s="124">
        <f>'Cronogramaa Fisico'!AT30</f>
        <v>0</v>
      </c>
      <c r="BC274" s="124">
        <f>'Cronogramaa Fisico'!AU30</f>
        <v>0</v>
      </c>
      <c r="BD274" s="124">
        <f>'Cronogramaa Fisico'!AV30</f>
        <v>0</v>
      </c>
      <c r="BE274" s="124">
        <f>'Cronogramaa Fisico'!AW30</f>
        <v>0</v>
      </c>
      <c r="BF274" s="124">
        <f>'Cronogramaa Fisico'!AX30</f>
        <v>0</v>
      </c>
      <c r="BG274" s="124">
        <f>'Cronogramaa Fisico'!AY30</f>
        <v>0</v>
      </c>
      <c r="BH274" s="124">
        <f>'Cronogramaa Fisico'!AZ30</f>
        <v>0</v>
      </c>
      <c r="BI274" s="127"/>
      <c r="BJ274" s="119">
        <f>SUM(L274:BI274)</f>
        <v>1</v>
      </c>
    </row>
    <row r="275" spans="1:63" ht="21.75" customHeight="1" outlineLevel="1" x14ac:dyDescent="0.25">
      <c r="A275" s="209"/>
      <c r="B275" s="219" t="s">
        <v>256</v>
      </c>
      <c r="C275" s="220" t="s">
        <v>294</v>
      </c>
      <c r="D275" s="148"/>
      <c r="E275" s="173"/>
      <c r="F275" s="149"/>
      <c r="G275" s="149">
        <f>Empreendimentos!D181</f>
        <v>0</v>
      </c>
      <c r="H275" s="179"/>
      <c r="I275" s="180">
        <v>5000000</v>
      </c>
      <c r="J275" s="204">
        <f>H275/$H$83</f>
        <v>0</v>
      </c>
      <c r="K275" s="204">
        <f>I275/$I$283</f>
        <v>0.14705882352941177</v>
      </c>
      <c r="L275" s="123"/>
      <c r="M275" s="124">
        <f>'Cronogramaa Fisico'!E31</f>
        <v>0</v>
      </c>
      <c r="N275" s="124">
        <f>'Cronogramaa Fisico'!F31</f>
        <v>0</v>
      </c>
      <c r="O275" s="124">
        <f>'Cronogramaa Fisico'!G31</f>
        <v>0</v>
      </c>
      <c r="P275" s="124">
        <f>'Cronogramaa Fisico'!H31</f>
        <v>0</v>
      </c>
      <c r="Q275" s="124">
        <f>'Cronogramaa Fisico'!I31</f>
        <v>0</v>
      </c>
      <c r="R275" s="124">
        <f>'Cronogramaa Fisico'!J31</f>
        <v>0</v>
      </c>
      <c r="S275" s="124">
        <f>'Cronogramaa Fisico'!K31</f>
        <v>0.3</v>
      </c>
      <c r="T275" s="124">
        <f>'Cronogramaa Fisico'!L31</f>
        <v>0.7</v>
      </c>
      <c r="U275" s="124">
        <f>'Cronogramaa Fisico'!M31</f>
        <v>0</v>
      </c>
      <c r="V275" s="124">
        <f>'Cronogramaa Fisico'!N31</f>
        <v>0</v>
      </c>
      <c r="W275" s="124">
        <f>'Cronogramaa Fisico'!O31</f>
        <v>0</v>
      </c>
      <c r="X275" s="124">
        <f>'Cronogramaa Fisico'!P31</f>
        <v>0</v>
      </c>
      <c r="Y275" s="124">
        <f>'Cronogramaa Fisico'!Q31</f>
        <v>0</v>
      </c>
      <c r="Z275" s="124">
        <f>'Cronogramaa Fisico'!R31</f>
        <v>0</v>
      </c>
      <c r="AA275" s="124">
        <f>'Cronogramaa Fisico'!S31</f>
        <v>0</v>
      </c>
      <c r="AB275" s="124">
        <f>'Cronogramaa Fisico'!T31</f>
        <v>0</v>
      </c>
      <c r="AC275" s="124">
        <f>'Cronogramaa Fisico'!U31</f>
        <v>0</v>
      </c>
      <c r="AD275" s="124">
        <f>'Cronogramaa Fisico'!V31</f>
        <v>0</v>
      </c>
      <c r="AE275" s="124">
        <f>'Cronogramaa Fisico'!W31</f>
        <v>0</v>
      </c>
      <c r="AF275" s="124">
        <f>'Cronogramaa Fisico'!X31</f>
        <v>0</v>
      </c>
      <c r="AG275" s="124">
        <f>'Cronogramaa Fisico'!Y31</f>
        <v>0</v>
      </c>
      <c r="AH275" s="124">
        <f>'Cronogramaa Fisico'!Z31</f>
        <v>0</v>
      </c>
      <c r="AI275" s="124">
        <f>'Cronogramaa Fisico'!AA31</f>
        <v>0</v>
      </c>
      <c r="AJ275" s="124">
        <f>'Cronogramaa Fisico'!AB31</f>
        <v>0</v>
      </c>
      <c r="AK275" s="124">
        <f>'Cronogramaa Fisico'!AC31</f>
        <v>0</v>
      </c>
      <c r="AL275" s="124">
        <f>'Cronogramaa Fisico'!AD31</f>
        <v>0</v>
      </c>
      <c r="AM275" s="124">
        <f>'Cronogramaa Fisico'!AE31</f>
        <v>0</v>
      </c>
      <c r="AN275" s="124">
        <f>'Cronogramaa Fisico'!AF31</f>
        <v>0</v>
      </c>
      <c r="AO275" s="124">
        <f>'Cronogramaa Fisico'!AG31</f>
        <v>0</v>
      </c>
      <c r="AP275" s="124">
        <f>'Cronogramaa Fisico'!AH31</f>
        <v>0</v>
      </c>
      <c r="AQ275" s="124">
        <f>'Cronogramaa Fisico'!AI31</f>
        <v>0</v>
      </c>
      <c r="AR275" s="124">
        <f>'Cronogramaa Fisico'!AJ31</f>
        <v>0</v>
      </c>
      <c r="AS275" s="124">
        <f>'Cronogramaa Fisico'!AK31</f>
        <v>0</v>
      </c>
      <c r="AT275" s="124">
        <f>'Cronogramaa Fisico'!AL31</f>
        <v>0</v>
      </c>
      <c r="AU275" s="124">
        <f>'Cronogramaa Fisico'!AM31</f>
        <v>0</v>
      </c>
      <c r="AV275" s="124">
        <f>'Cronogramaa Fisico'!AN31</f>
        <v>0</v>
      </c>
      <c r="AW275" s="124">
        <f>'Cronogramaa Fisico'!AO31</f>
        <v>0</v>
      </c>
      <c r="AX275" s="124">
        <f>'Cronogramaa Fisico'!AP31</f>
        <v>0</v>
      </c>
      <c r="AY275" s="124">
        <f>'Cronogramaa Fisico'!AQ31</f>
        <v>0</v>
      </c>
      <c r="AZ275" s="124">
        <f>'Cronogramaa Fisico'!AR31</f>
        <v>0</v>
      </c>
      <c r="BA275" s="124">
        <f>'Cronogramaa Fisico'!AS31</f>
        <v>0</v>
      </c>
      <c r="BB275" s="124">
        <f>'Cronogramaa Fisico'!AT31</f>
        <v>0</v>
      </c>
      <c r="BC275" s="124">
        <f>'Cronogramaa Fisico'!AU31</f>
        <v>0</v>
      </c>
      <c r="BD275" s="124">
        <f>'Cronogramaa Fisico'!AV31</f>
        <v>0</v>
      </c>
      <c r="BE275" s="124">
        <f>'Cronogramaa Fisico'!AW31</f>
        <v>0</v>
      </c>
      <c r="BF275" s="124">
        <f>'Cronogramaa Fisico'!AX31</f>
        <v>0</v>
      </c>
      <c r="BG275" s="124">
        <f>'Cronogramaa Fisico'!AY31</f>
        <v>0</v>
      </c>
      <c r="BH275" s="124">
        <f>'Cronogramaa Fisico'!AZ31</f>
        <v>0</v>
      </c>
      <c r="BI275" s="127"/>
      <c r="BJ275" s="119">
        <f>SUM(L275:BI275)</f>
        <v>1</v>
      </c>
    </row>
    <row r="276" spans="1:63" s="13" customFormat="1" ht="9.6" customHeight="1" x14ac:dyDescent="0.25">
      <c r="A276" s="130"/>
      <c r="B276" s="131"/>
      <c r="C276" s="131"/>
      <c r="D276" s="131"/>
      <c r="E276" s="131"/>
      <c r="F276" s="131"/>
      <c r="G276" s="131"/>
      <c r="H276" s="131"/>
      <c r="I276" s="132"/>
      <c r="J276" s="207">
        <f>H276/$H$42</f>
        <v>0</v>
      </c>
      <c r="K276" s="207">
        <f>I276/$H$42</f>
        <v>0</v>
      </c>
      <c r="L276" s="133"/>
      <c r="M276" s="134"/>
      <c r="N276" s="134"/>
      <c r="O276" s="134"/>
      <c r="P276" s="135"/>
      <c r="Q276" s="135"/>
      <c r="R276" s="135"/>
      <c r="S276" s="135"/>
      <c r="T276" s="136"/>
      <c r="U276" s="136"/>
      <c r="V276" s="136"/>
      <c r="W276" s="136"/>
      <c r="X276" s="136"/>
      <c r="Y276" s="136"/>
      <c r="Z276" s="136"/>
      <c r="AA276" s="136"/>
      <c r="AB276" s="136"/>
      <c r="AC276" s="136"/>
      <c r="AD276" s="136"/>
      <c r="AE276" s="136"/>
      <c r="AF276" s="136"/>
      <c r="AG276" s="137"/>
      <c r="AH276" s="137"/>
      <c r="AI276" s="137"/>
      <c r="AJ276" s="137"/>
      <c r="AK276" s="137"/>
      <c r="AL276" s="137"/>
      <c r="AM276" s="137"/>
      <c r="AN276" s="137"/>
      <c r="AO276" s="137"/>
      <c r="AP276" s="137"/>
      <c r="AQ276" s="137"/>
      <c r="AR276" s="137"/>
      <c r="AS276" s="137"/>
      <c r="AT276" s="137"/>
      <c r="AU276" s="137"/>
      <c r="AV276" s="137"/>
      <c r="AW276" s="137"/>
      <c r="AX276" s="137"/>
      <c r="AY276" s="137"/>
      <c r="AZ276" s="137"/>
      <c r="BA276" s="137"/>
      <c r="BB276" s="137"/>
      <c r="BC276" s="137"/>
      <c r="BD276" s="137"/>
      <c r="BE276" s="137"/>
      <c r="BF276" s="137"/>
      <c r="BG276" s="137"/>
      <c r="BH276" s="137"/>
      <c r="BI276" s="138"/>
      <c r="BJ276" s="119">
        <f>SUM(K276:AI276)</f>
        <v>0</v>
      </c>
    </row>
    <row r="277" spans="1:63" s="13" customFormat="1" ht="7.8" customHeight="1" x14ac:dyDescent="0.25">
      <c r="A277" s="139"/>
      <c r="B277" s="140"/>
      <c r="C277" s="140"/>
      <c r="D277" s="140"/>
      <c r="E277" s="140"/>
      <c r="F277" s="140"/>
      <c r="G277" s="140"/>
      <c r="H277" s="140"/>
      <c r="I277" s="141"/>
      <c r="J277" s="140"/>
      <c r="K277" s="140"/>
      <c r="L277" s="139"/>
      <c r="M277" s="139"/>
      <c r="N277" s="139"/>
      <c r="O277" s="139"/>
      <c r="P277" s="139"/>
      <c r="Q277" s="139"/>
      <c r="R277" s="139"/>
      <c r="S277" s="139"/>
      <c r="T277" s="142"/>
      <c r="U277" s="142"/>
      <c r="V277" s="142"/>
      <c r="W277" s="142"/>
      <c r="X277" s="142"/>
      <c r="Y277" s="142"/>
      <c r="Z277" s="142"/>
      <c r="AA277" s="142"/>
      <c r="AB277" s="142"/>
      <c r="AC277" s="142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  <c r="AO277" s="142"/>
      <c r="AP277" s="142"/>
      <c r="AQ277" s="142"/>
      <c r="AR277" s="142"/>
      <c r="AS277" s="142"/>
      <c r="AT277" s="142"/>
      <c r="AU277" s="142"/>
      <c r="AV277" s="142"/>
      <c r="AW277" s="142"/>
      <c r="AX277" s="142"/>
      <c r="AY277" s="142"/>
      <c r="AZ277" s="142"/>
      <c r="BA277" s="142"/>
      <c r="BB277" s="142"/>
      <c r="BC277" s="142"/>
      <c r="BD277" s="142"/>
      <c r="BE277" s="142"/>
      <c r="BF277" s="142"/>
      <c r="BG277" s="142"/>
      <c r="BH277" s="142"/>
      <c r="BI277" s="142"/>
      <c r="BJ277" s="143"/>
    </row>
    <row r="278" spans="1:63" s="144" customFormat="1" ht="18" customHeight="1" x14ac:dyDescent="0.25">
      <c r="A278" s="379" t="s">
        <v>223</v>
      </c>
      <c r="B278" s="380"/>
      <c r="C278" s="385" t="s">
        <v>168</v>
      </c>
      <c r="D278" s="386"/>
      <c r="E278" s="386"/>
      <c r="F278" s="386"/>
      <c r="G278" s="387"/>
      <c r="H278" s="388"/>
      <c r="I278" s="388"/>
      <c r="J278" s="389"/>
      <c r="K278" s="389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3"/>
      <c r="AH278" s="163"/>
      <c r="AI278" s="163"/>
      <c r="AJ278" s="163"/>
      <c r="AK278" s="163"/>
      <c r="AL278" s="163"/>
      <c r="AM278" s="163"/>
      <c r="AN278" s="163"/>
      <c r="AO278" s="163"/>
      <c r="AP278" s="163"/>
      <c r="AQ278" s="163"/>
      <c r="AR278" s="163"/>
      <c r="AS278" s="163"/>
      <c r="AT278" s="163"/>
      <c r="AU278" s="163"/>
      <c r="AV278" s="163"/>
      <c r="AW278" s="163"/>
      <c r="AX278" s="163"/>
      <c r="AY278" s="163"/>
      <c r="AZ278" s="163"/>
      <c r="BA278" s="163"/>
      <c r="BB278" s="163"/>
      <c r="BC278" s="163"/>
      <c r="BD278" s="163"/>
      <c r="BE278" s="163"/>
      <c r="BF278" s="163"/>
      <c r="BG278" s="163"/>
      <c r="BH278" s="163"/>
      <c r="BI278" s="163"/>
    </row>
    <row r="279" spans="1:63" s="144" customFormat="1" ht="18" customHeight="1" x14ac:dyDescent="0.25">
      <c r="A279" s="381"/>
      <c r="B279" s="382"/>
      <c r="C279" s="385" t="s">
        <v>169</v>
      </c>
      <c r="D279" s="386"/>
      <c r="E279" s="386"/>
      <c r="F279" s="386"/>
      <c r="G279" s="387"/>
      <c r="H279" s="388"/>
      <c r="I279" s="388"/>
      <c r="J279" s="389"/>
      <c r="K279" s="389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  <c r="AA279" s="164"/>
      <c r="AB279" s="164"/>
      <c r="AC279" s="164"/>
      <c r="AD279" s="164"/>
      <c r="AE279" s="164"/>
      <c r="AF279" s="164"/>
      <c r="AG279" s="164"/>
      <c r="AH279" s="164"/>
      <c r="AI279" s="164"/>
      <c r="AJ279" s="164"/>
      <c r="AK279" s="164"/>
      <c r="AL279" s="164"/>
      <c r="AM279" s="164"/>
      <c r="AN279" s="164"/>
      <c r="AO279" s="164"/>
      <c r="AP279" s="164"/>
      <c r="AQ279" s="164"/>
      <c r="AR279" s="164"/>
      <c r="AS279" s="164"/>
      <c r="AT279" s="164"/>
      <c r="AU279" s="164"/>
      <c r="AV279" s="164"/>
      <c r="AW279" s="164"/>
      <c r="AX279" s="164"/>
      <c r="AY279" s="164"/>
      <c r="AZ279" s="164"/>
      <c r="BA279" s="164"/>
      <c r="BB279" s="164"/>
      <c r="BC279" s="164"/>
      <c r="BD279" s="164"/>
      <c r="BE279" s="164"/>
      <c r="BF279" s="164"/>
      <c r="BG279" s="164"/>
      <c r="BH279" s="164"/>
      <c r="BI279" s="164"/>
    </row>
    <row r="280" spans="1:63" s="144" customFormat="1" ht="18" customHeight="1" x14ac:dyDescent="0.25">
      <c r="A280" s="381"/>
      <c r="B280" s="382"/>
      <c r="C280" s="385" t="s">
        <v>170</v>
      </c>
      <c r="D280" s="386"/>
      <c r="E280" s="386"/>
      <c r="F280" s="386"/>
      <c r="G280" s="387"/>
      <c r="H280" s="388"/>
      <c r="I280" s="388"/>
      <c r="J280" s="389"/>
      <c r="K280" s="389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5"/>
      <c r="AH280" s="165"/>
      <c r="AI280" s="165"/>
      <c r="AJ280" s="165"/>
      <c r="AK280" s="165"/>
      <c r="AL280" s="165"/>
      <c r="AM280" s="165"/>
      <c r="AN280" s="165"/>
      <c r="AO280" s="165"/>
      <c r="AP280" s="165"/>
      <c r="AQ280" s="165"/>
      <c r="AR280" s="165"/>
      <c r="AS280" s="165"/>
      <c r="AT280" s="165"/>
      <c r="AU280" s="165"/>
      <c r="AV280" s="165"/>
      <c r="AW280" s="165"/>
      <c r="AX280" s="165"/>
      <c r="AY280" s="165"/>
      <c r="AZ280" s="165"/>
      <c r="BA280" s="165"/>
      <c r="BB280" s="165"/>
      <c r="BC280" s="165"/>
      <c r="BD280" s="165"/>
      <c r="BE280" s="165"/>
      <c r="BF280" s="165"/>
      <c r="BG280" s="165"/>
      <c r="BH280" s="165"/>
      <c r="BI280" s="165"/>
    </row>
    <row r="281" spans="1:63" s="144" customFormat="1" ht="18" customHeight="1" x14ac:dyDescent="0.25">
      <c r="A281" s="383"/>
      <c r="B281" s="384"/>
      <c r="C281" s="385" t="s">
        <v>171</v>
      </c>
      <c r="D281" s="386"/>
      <c r="E281" s="386"/>
      <c r="F281" s="386"/>
      <c r="G281" s="387"/>
      <c r="H281" s="388"/>
      <c r="I281" s="388"/>
      <c r="J281" s="389"/>
      <c r="K281" s="389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5"/>
      <c r="AH281" s="165"/>
      <c r="AI281" s="165"/>
      <c r="AJ281" s="165"/>
      <c r="AK281" s="165"/>
      <c r="AL281" s="165"/>
      <c r="AM281" s="165"/>
      <c r="AN281" s="165"/>
      <c r="AO281" s="165"/>
      <c r="AP281" s="165"/>
      <c r="AQ281" s="165"/>
      <c r="AR281" s="165"/>
      <c r="AS281" s="165"/>
      <c r="AT281" s="165"/>
      <c r="AU281" s="165"/>
      <c r="AV281" s="165"/>
      <c r="AW281" s="165"/>
      <c r="AX281" s="165"/>
      <c r="AY281" s="165"/>
      <c r="AZ281" s="165"/>
      <c r="BA281" s="165"/>
      <c r="BB281" s="165"/>
      <c r="BC281" s="165"/>
      <c r="BD281" s="165"/>
      <c r="BE281" s="165"/>
      <c r="BF281" s="165"/>
      <c r="BG281" s="165"/>
      <c r="BH281" s="165"/>
      <c r="BI281" s="165"/>
    </row>
    <row r="282" spans="1:63" s="140" customFormat="1" ht="10.199999999999999" x14ac:dyDescent="0.25">
      <c r="I282" s="145"/>
      <c r="J282" s="145"/>
      <c r="K282" s="145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  <c r="AC282" s="146"/>
      <c r="AD282" s="146"/>
      <c r="AE282" s="146"/>
      <c r="AF282" s="146"/>
      <c r="AG282" s="146"/>
      <c r="AH282" s="146"/>
      <c r="AI282" s="146"/>
      <c r="AJ282" s="146"/>
      <c r="AK282" s="146"/>
      <c r="AL282" s="146"/>
      <c r="AM282" s="146"/>
      <c r="AN282" s="146"/>
      <c r="AO282" s="146"/>
      <c r="AP282" s="146"/>
      <c r="AQ282" s="146"/>
      <c r="AR282" s="146"/>
      <c r="AS282" s="146"/>
      <c r="AT282" s="146"/>
      <c r="AU282" s="146"/>
      <c r="AV282" s="146"/>
      <c r="AW282" s="146"/>
      <c r="AX282" s="146"/>
      <c r="AY282" s="146"/>
      <c r="AZ282" s="146"/>
      <c r="BA282" s="146"/>
      <c r="BB282" s="146"/>
      <c r="BC282" s="146"/>
      <c r="BD282" s="146"/>
      <c r="BE282" s="146"/>
      <c r="BF282" s="146"/>
      <c r="BG282" s="146"/>
      <c r="BH282" s="146"/>
      <c r="BI282" s="146"/>
    </row>
    <row r="283" spans="1:63" s="144" customFormat="1" ht="18" customHeight="1" x14ac:dyDescent="0.25">
      <c r="A283" s="368" t="s">
        <v>224</v>
      </c>
      <c r="B283" s="369"/>
      <c r="C283" s="374" t="s">
        <v>168</v>
      </c>
      <c r="D283" s="375"/>
      <c r="E283" s="375"/>
      <c r="F283" s="375"/>
      <c r="G283" s="376"/>
      <c r="H283" s="377"/>
      <c r="I283" s="377">
        <f>I268</f>
        <v>34000000</v>
      </c>
      <c r="J283" s="378"/>
      <c r="K283" s="378">
        <f>K268</f>
        <v>1</v>
      </c>
      <c r="L283" s="200">
        <f t="shared" ref="L283:AQ283" si="722">SUMPRODUCT($I270:$I276,L270:L276)</f>
        <v>0</v>
      </c>
      <c r="M283" s="200">
        <f t="shared" si="722"/>
        <v>0</v>
      </c>
      <c r="N283" s="200">
        <f t="shared" si="722"/>
        <v>4800000</v>
      </c>
      <c r="O283" s="200">
        <f t="shared" si="722"/>
        <v>10000000</v>
      </c>
      <c r="P283" s="200">
        <f t="shared" si="722"/>
        <v>4200000</v>
      </c>
      <c r="Q283" s="200">
        <f t="shared" si="722"/>
        <v>0</v>
      </c>
      <c r="R283" s="200">
        <f t="shared" si="722"/>
        <v>0</v>
      </c>
      <c r="S283" s="200">
        <f t="shared" si="722"/>
        <v>4500000</v>
      </c>
      <c r="T283" s="200">
        <f t="shared" si="722"/>
        <v>10500000</v>
      </c>
      <c r="U283" s="200">
        <f t="shared" si="722"/>
        <v>0</v>
      </c>
      <c r="V283" s="200">
        <f t="shared" si="722"/>
        <v>0</v>
      </c>
      <c r="W283" s="200">
        <f t="shared" si="722"/>
        <v>0</v>
      </c>
      <c r="X283" s="200">
        <f t="shared" si="722"/>
        <v>0</v>
      </c>
      <c r="Y283" s="200">
        <f t="shared" si="722"/>
        <v>0</v>
      </c>
      <c r="Z283" s="200">
        <f t="shared" si="722"/>
        <v>0</v>
      </c>
      <c r="AA283" s="200">
        <f t="shared" si="722"/>
        <v>0</v>
      </c>
      <c r="AB283" s="200">
        <f t="shared" si="722"/>
        <v>0</v>
      </c>
      <c r="AC283" s="200">
        <f t="shared" si="722"/>
        <v>0</v>
      </c>
      <c r="AD283" s="200">
        <f t="shared" si="722"/>
        <v>0</v>
      </c>
      <c r="AE283" s="200">
        <f t="shared" si="722"/>
        <v>0</v>
      </c>
      <c r="AF283" s="200">
        <f t="shared" si="722"/>
        <v>0</v>
      </c>
      <c r="AG283" s="200">
        <f t="shared" si="722"/>
        <v>0</v>
      </c>
      <c r="AH283" s="200">
        <f t="shared" si="722"/>
        <v>0</v>
      </c>
      <c r="AI283" s="200">
        <f t="shared" si="722"/>
        <v>0</v>
      </c>
      <c r="AJ283" s="200">
        <f t="shared" si="722"/>
        <v>0</v>
      </c>
      <c r="AK283" s="200">
        <f t="shared" si="722"/>
        <v>0</v>
      </c>
      <c r="AL283" s="200">
        <f t="shared" si="722"/>
        <v>0</v>
      </c>
      <c r="AM283" s="200">
        <f t="shared" si="722"/>
        <v>0</v>
      </c>
      <c r="AN283" s="200">
        <f t="shared" si="722"/>
        <v>0</v>
      </c>
      <c r="AO283" s="200">
        <f t="shared" si="722"/>
        <v>0</v>
      </c>
      <c r="AP283" s="200">
        <f t="shared" si="722"/>
        <v>0</v>
      </c>
      <c r="AQ283" s="200">
        <f t="shared" si="722"/>
        <v>0</v>
      </c>
      <c r="AR283" s="200">
        <f t="shared" ref="AR283:BI283" si="723">SUMPRODUCT($I270:$I276,AR270:AR276)</f>
        <v>0</v>
      </c>
      <c r="AS283" s="200">
        <f t="shared" si="723"/>
        <v>0</v>
      </c>
      <c r="AT283" s="200">
        <f t="shared" si="723"/>
        <v>0</v>
      </c>
      <c r="AU283" s="200">
        <f t="shared" si="723"/>
        <v>0</v>
      </c>
      <c r="AV283" s="200">
        <f t="shared" si="723"/>
        <v>0</v>
      </c>
      <c r="AW283" s="200">
        <f t="shared" si="723"/>
        <v>0</v>
      </c>
      <c r="AX283" s="200">
        <f t="shared" si="723"/>
        <v>0</v>
      </c>
      <c r="AY283" s="200">
        <f t="shared" si="723"/>
        <v>0</v>
      </c>
      <c r="AZ283" s="200">
        <f t="shared" si="723"/>
        <v>0</v>
      </c>
      <c r="BA283" s="200">
        <f t="shared" si="723"/>
        <v>0</v>
      </c>
      <c r="BB283" s="200">
        <f t="shared" si="723"/>
        <v>0</v>
      </c>
      <c r="BC283" s="200">
        <f t="shared" si="723"/>
        <v>0</v>
      </c>
      <c r="BD283" s="200">
        <f t="shared" si="723"/>
        <v>0</v>
      </c>
      <c r="BE283" s="200">
        <f t="shared" si="723"/>
        <v>0</v>
      </c>
      <c r="BF283" s="200">
        <f t="shared" si="723"/>
        <v>0</v>
      </c>
      <c r="BG283" s="200">
        <f t="shared" si="723"/>
        <v>0</v>
      </c>
      <c r="BH283" s="200">
        <f t="shared" si="723"/>
        <v>0</v>
      </c>
      <c r="BI283" s="200">
        <f t="shared" si="723"/>
        <v>0</v>
      </c>
    </row>
    <row r="284" spans="1:63" s="144" customFormat="1" ht="18" customHeight="1" x14ac:dyDescent="0.25">
      <c r="A284" s="370"/>
      <c r="B284" s="371"/>
      <c r="C284" s="374" t="s">
        <v>169</v>
      </c>
      <c r="D284" s="375"/>
      <c r="E284" s="375"/>
      <c r="F284" s="375"/>
      <c r="G284" s="376"/>
      <c r="H284" s="377"/>
      <c r="I284" s="377"/>
      <c r="J284" s="378"/>
      <c r="K284" s="378"/>
      <c r="L284" s="201">
        <f>L283</f>
        <v>0</v>
      </c>
      <c r="M284" s="201">
        <f>M283+L284</f>
        <v>0</v>
      </c>
      <c r="N284" s="201">
        <f t="shared" ref="N284" si="724">N283+M284</f>
        <v>4800000</v>
      </c>
      <c r="O284" s="201">
        <f t="shared" ref="O284" si="725">O283+N284</f>
        <v>14800000</v>
      </c>
      <c r="P284" s="201">
        <f t="shared" ref="P284" si="726">P283+O284</f>
        <v>19000000</v>
      </c>
      <c r="Q284" s="201">
        <f t="shared" ref="Q284" si="727">Q283+P284</f>
        <v>19000000</v>
      </c>
      <c r="R284" s="201">
        <f t="shared" ref="R284" si="728">R283+Q284</f>
        <v>19000000</v>
      </c>
      <c r="S284" s="201">
        <f t="shared" ref="S284" si="729">S283+R284</f>
        <v>23500000</v>
      </c>
      <c r="T284" s="201">
        <f t="shared" ref="T284" si="730">T283+S284</f>
        <v>34000000</v>
      </c>
      <c r="U284" s="201">
        <f t="shared" ref="U284" si="731">U283+T284</f>
        <v>34000000</v>
      </c>
      <c r="V284" s="201">
        <f t="shared" ref="V284" si="732">V283+U284</f>
        <v>34000000</v>
      </c>
      <c r="W284" s="201">
        <f t="shared" ref="W284" si="733">W283+V284</f>
        <v>34000000</v>
      </c>
      <c r="X284" s="201">
        <f t="shared" ref="X284" si="734">X283+W284</f>
        <v>34000000</v>
      </c>
      <c r="Y284" s="201">
        <f t="shared" ref="Y284" si="735">Y283+X284</f>
        <v>34000000</v>
      </c>
      <c r="Z284" s="201">
        <f t="shared" ref="Z284" si="736">Z283+Y284</f>
        <v>34000000</v>
      </c>
      <c r="AA284" s="201">
        <f t="shared" ref="AA284" si="737">AA283+Z284</f>
        <v>34000000</v>
      </c>
      <c r="AB284" s="201">
        <f t="shared" ref="AB284" si="738">AB283+AA284</f>
        <v>34000000</v>
      </c>
      <c r="AC284" s="201">
        <f t="shared" ref="AC284" si="739">AC283+AB284</f>
        <v>34000000</v>
      </c>
      <c r="AD284" s="201">
        <f t="shared" ref="AD284" si="740">AD283+AC284</f>
        <v>34000000</v>
      </c>
      <c r="AE284" s="201">
        <f t="shared" ref="AE284" si="741">AE283+AD284</f>
        <v>34000000</v>
      </c>
      <c r="AF284" s="201">
        <f t="shared" ref="AF284" si="742">AF283+AE284</f>
        <v>34000000</v>
      </c>
      <c r="AG284" s="201">
        <f t="shared" ref="AG284" si="743">AG283+AF284</f>
        <v>34000000</v>
      </c>
      <c r="AH284" s="201">
        <f t="shared" ref="AH284" si="744">AH283+AG284</f>
        <v>34000000</v>
      </c>
      <c r="AI284" s="201">
        <f t="shared" ref="AI284" si="745">AI283+AH284</f>
        <v>34000000</v>
      </c>
      <c r="AJ284" s="201">
        <f t="shared" ref="AJ284" si="746">AJ283+AI284</f>
        <v>34000000</v>
      </c>
      <c r="AK284" s="201">
        <f t="shared" ref="AK284" si="747">AK283+AJ284</f>
        <v>34000000</v>
      </c>
      <c r="AL284" s="201">
        <f t="shared" ref="AL284" si="748">AL283+AK284</f>
        <v>34000000</v>
      </c>
      <c r="AM284" s="201">
        <f t="shared" ref="AM284" si="749">AM283+AL284</f>
        <v>34000000</v>
      </c>
      <c r="AN284" s="201">
        <f t="shared" ref="AN284" si="750">AN283+AM284</f>
        <v>34000000</v>
      </c>
      <c r="AO284" s="201">
        <f t="shared" ref="AO284" si="751">AO283+AN284</f>
        <v>34000000</v>
      </c>
      <c r="AP284" s="201">
        <f t="shared" ref="AP284" si="752">AP283+AO284</f>
        <v>34000000</v>
      </c>
      <c r="AQ284" s="201">
        <f t="shared" ref="AQ284" si="753">AQ283+AP284</f>
        <v>34000000</v>
      </c>
      <c r="AR284" s="201">
        <f t="shared" ref="AR284" si="754">AR283+AQ284</f>
        <v>34000000</v>
      </c>
      <c r="AS284" s="201">
        <f t="shared" ref="AS284" si="755">AS283+AR284</f>
        <v>34000000</v>
      </c>
      <c r="AT284" s="201">
        <f t="shared" ref="AT284" si="756">AT283+AS284</f>
        <v>34000000</v>
      </c>
      <c r="AU284" s="201">
        <f t="shared" ref="AU284" si="757">AU283+AT284</f>
        <v>34000000</v>
      </c>
      <c r="AV284" s="201">
        <f t="shared" ref="AV284" si="758">AV283+AU284</f>
        <v>34000000</v>
      </c>
      <c r="AW284" s="201">
        <f t="shared" ref="AW284" si="759">AW283+AV284</f>
        <v>34000000</v>
      </c>
      <c r="AX284" s="201">
        <f t="shared" ref="AX284" si="760">AX283+AW284</f>
        <v>34000000</v>
      </c>
      <c r="AY284" s="201">
        <f t="shared" ref="AY284" si="761">AY283+AX284</f>
        <v>34000000</v>
      </c>
      <c r="AZ284" s="201">
        <f t="shared" ref="AZ284" si="762">AZ283+AY284</f>
        <v>34000000</v>
      </c>
      <c r="BA284" s="201">
        <f t="shared" ref="BA284" si="763">BA283+AZ284</f>
        <v>34000000</v>
      </c>
      <c r="BB284" s="201">
        <f t="shared" ref="BB284" si="764">BB283+BA284</f>
        <v>34000000</v>
      </c>
      <c r="BC284" s="201">
        <f t="shared" ref="BC284" si="765">BC283+BB284</f>
        <v>34000000</v>
      </c>
      <c r="BD284" s="201">
        <f t="shared" ref="BD284" si="766">BD283+BC284</f>
        <v>34000000</v>
      </c>
      <c r="BE284" s="201">
        <f t="shared" ref="BE284" si="767">BE283+BD284</f>
        <v>34000000</v>
      </c>
      <c r="BF284" s="201">
        <f t="shared" ref="BF284" si="768">BF283+BE284</f>
        <v>34000000</v>
      </c>
      <c r="BG284" s="201">
        <f t="shared" ref="BG284" si="769">BG283+BF284</f>
        <v>34000000</v>
      </c>
      <c r="BH284" s="201">
        <f t="shared" ref="BH284" si="770">BH283+BG284</f>
        <v>34000000</v>
      </c>
      <c r="BI284" s="201">
        <f t="shared" ref="BI284" si="771">BI283+BH284</f>
        <v>34000000</v>
      </c>
    </row>
    <row r="285" spans="1:63" s="144" customFormat="1" ht="18" customHeight="1" x14ac:dyDescent="0.25">
      <c r="A285" s="370"/>
      <c r="B285" s="371"/>
      <c r="C285" s="374" t="s">
        <v>170</v>
      </c>
      <c r="D285" s="375"/>
      <c r="E285" s="375"/>
      <c r="F285" s="375"/>
      <c r="G285" s="376"/>
      <c r="H285" s="377"/>
      <c r="I285" s="377"/>
      <c r="J285" s="378"/>
      <c r="K285" s="378"/>
      <c r="L285" s="202">
        <f>L283/$I$283</f>
        <v>0</v>
      </c>
      <c r="M285" s="202">
        <f>M283/$I$283</f>
        <v>0</v>
      </c>
      <c r="N285" s="202">
        <f>N283/$I$283</f>
        <v>0.14117647058823529</v>
      </c>
      <c r="O285" s="202">
        <f t="shared" ref="O285:BI285" si="772">O283/$I$283</f>
        <v>0.29411764705882354</v>
      </c>
      <c r="P285" s="202">
        <f t="shared" si="772"/>
        <v>0.12352941176470589</v>
      </c>
      <c r="Q285" s="202">
        <f t="shared" si="772"/>
        <v>0</v>
      </c>
      <c r="R285" s="202">
        <f t="shared" si="772"/>
        <v>0</v>
      </c>
      <c r="S285" s="202">
        <f t="shared" si="772"/>
        <v>0.13235294117647059</v>
      </c>
      <c r="T285" s="202">
        <f t="shared" si="772"/>
        <v>0.30882352941176472</v>
      </c>
      <c r="U285" s="202">
        <f t="shared" si="772"/>
        <v>0</v>
      </c>
      <c r="V285" s="202">
        <f t="shared" si="772"/>
        <v>0</v>
      </c>
      <c r="W285" s="202">
        <f t="shared" si="772"/>
        <v>0</v>
      </c>
      <c r="X285" s="202">
        <f t="shared" si="772"/>
        <v>0</v>
      </c>
      <c r="Y285" s="202">
        <f t="shared" si="772"/>
        <v>0</v>
      </c>
      <c r="Z285" s="202">
        <f t="shared" si="772"/>
        <v>0</v>
      </c>
      <c r="AA285" s="202">
        <f t="shared" si="772"/>
        <v>0</v>
      </c>
      <c r="AB285" s="202">
        <f t="shared" si="772"/>
        <v>0</v>
      </c>
      <c r="AC285" s="202">
        <f t="shared" si="772"/>
        <v>0</v>
      </c>
      <c r="AD285" s="202">
        <f t="shared" si="772"/>
        <v>0</v>
      </c>
      <c r="AE285" s="202">
        <f t="shared" si="772"/>
        <v>0</v>
      </c>
      <c r="AF285" s="202">
        <f t="shared" si="772"/>
        <v>0</v>
      </c>
      <c r="AG285" s="202">
        <f t="shared" si="772"/>
        <v>0</v>
      </c>
      <c r="AH285" s="202">
        <f t="shared" si="772"/>
        <v>0</v>
      </c>
      <c r="AI285" s="202">
        <f t="shared" si="772"/>
        <v>0</v>
      </c>
      <c r="AJ285" s="202">
        <f t="shared" si="772"/>
        <v>0</v>
      </c>
      <c r="AK285" s="202">
        <f t="shared" si="772"/>
        <v>0</v>
      </c>
      <c r="AL285" s="202">
        <f t="shared" si="772"/>
        <v>0</v>
      </c>
      <c r="AM285" s="202">
        <f t="shared" si="772"/>
        <v>0</v>
      </c>
      <c r="AN285" s="202">
        <f t="shared" si="772"/>
        <v>0</v>
      </c>
      <c r="AO285" s="202">
        <f t="shared" si="772"/>
        <v>0</v>
      </c>
      <c r="AP285" s="202">
        <f t="shared" si="772"/>
        <v>0</v>
      </c>
      <c r="AQ285" s="202">
        <f t="shared" si="772"/>
        <v>0</v>
      </c>
      <c r="AR285" s="202">
        <f t="shared" si="772"/>
        <v>0</v>
      </c>
      <c r="AS285" s="202">
        <f t="shared" si="772"/>
        <v>0</v>
      </c>
      <c r="AT285" s="202">
        <f t="shared" si="772"/>
        <v>0</v>
      </c>
      <c r="AU285" s="202">
        <f t="shared" si="772"/>
        <v>0</v>
      </c>
      <c r="AV285" s="202">
        <f t="shared" si="772"/>
        <v>0</v>
      </c>
      <c r="AW285" s="202">
        <f t="shared" si="772"/>
        <v>0</v>
      </c>
      <c r="AX285" s="202">
        <f t="shared" si="772"/>
        <v>0</v>
      </c>
      <c r="AY285" s="202">
        <f t="shared" si="772"/>
        <v>0</v>
      </c>
      <c r="AZ285" s="202">
        <f t="shared" si="772"/>
        <v>0</v>
      </c>
      <c r="BA285" s="202">
        <f t="shared" si="772"/>
        <v>0</v>
      </c>
      <c r="BB285" s="202">
        <f t="shared" si="772"/>
        <v>0</v>
      </c>
      <c r="BC285" s="202">
        <f t="shared" si="772"/>
        <v>0</v>
      </c>
      <c r="BD285" s="202">
        <f t="shared" si="772"/>
        <v>0</v>
      </c>
      <c r="BE285" s="202">
        <f t="shared" si="772"/>
        <v>0</v>
      </c>
      <c r="BF285" s="202">
        <f t="shared" si="772"/>
        <v>0</v>
      </c>
      <c r="BG285" s="202">
        <f t="shared" si="772"/>
        <v>0</v>
      </c>
      <c r="BH285" s="202">
        <f t="shared" si="772"/>
        <v>0</v>
      </c>
      <c r="BI285" s="202">
        <f t="shared" si="772"/>
        <v>0</v>
      </c>
    </row>
    <row r="286" spans="1:63" s="144" customFormat="1" ht="18" customHeight="1" x14ac:dyDescent="0.25">
      <c r="A286" s="372"/>
      <c r="B286" s="373"/>
      <c r="C286" s="374" t="s">
        <v>171</v>
      </c>
      <c r="D286" s="375"/>
      <c r="E286" s="375"/>
      <c r="F286" s="375"/>
      <c r="G286" s="376"/>
      <c r="H286" s="377"/>
      <c r="I286" s="377"/>
      <c r="J286" s="378"/>
      <c r="K286" s="378"/>
      <c r="L286" s="202">
        <f>L285</f>
        <v>0</v>
      </c>
      <c r="M286" s="202">
        <f t="shared" ref="M286" si="773">M285+L286</f>
        <v>0</v>
      </c>
      <c r="N286" s="202">
        <f t="shared" ref="N286" si="774">N285+M286</f>
        <v>0.14117647058823529</v>
      </c>
      <c r="O286" s="202">
        <f t="shared" ref="O286" si="775">O285+N286</f>
        <v>0.43529411764705883</v>
      </c>
      <c r="P286" s="202">
        <f t="shared" ref="P286" si="776">P285+O286</f>
        <v>0.55882352941176472</v>
      </c>
      <c r="Q286" s="202">
        <f t="shared" ref="Q286" si="777">Q285+P286</f>
        <v>0.55882352941176472</v>
      </c>
      <c r="R286" s="202">
        <f t="shared" ref="R286" si="778">R285+Q286</f>
        <v>0.55882352941176472</v>
      </c>
      <c r="S286" s="202">
        <f t="shared" ref="S286" si="779">S285+R286</f>
        <v>0.69117647058823528</v>
      </c>
      <c r="T286" s="202">
        <f t="shared" ref="T286" si="780">T285+S286</f>
        <v>1</v>
      </c>
      <c r="U286" s="202">
        <f t="shared" ref="U286" si="781">U285+T286</f>
        <v>1</v>
      </c>
      <c r="V286" s="202">
        <f t="shared" ref="V286" si="782">V285+U286</f>
        <v>1</v>
      </c>
      <c r="W286" s="202">
        <f t="shared" ref="W286" si="783">W285+V286</f>
        <v>1</v>
      </c>
      <c r="X286" s="202">
        <f t="shared" ref="X286" si="784">X285+W286</f>
        <v>1</v>
      </c>
      <c r="Y286" s="202">
        <f t="shared" ref="Y286" si="785">Y285+X286</f>
        <v>1</v>
      </c>
      <c r="Z286" s="202">
        <f t="shared" ref="Z286" si="786">Z285+Y286</f>
        <v>1</v>
      </c>
      <c r="AA286" s="202">
        <f t="shared" ref="AA286" si="787">AA285+Z286</f>
        <v>1</v>
      </c>
      <c r="AB286" s="202">
        <f t="shared" ref="AB286" si="788">AB285+AA286</f>
        <v>1</v>
      </c>
      <c r="AC286" s="202">
        <f t="shared" ref="AC286" si="789">AC285+AB286</f>
        <v>1</v>
      </c>
      <c r="AD286" s="202">
        <f t="shared" ref="AD286" si="790">AD285+AC286</f>
        <v>1</v>
      </c>
      <c r="AE286" s="202">
        <f t="shared" ref="AE286" si="791">AE285+AD286</f>
        <v>1</v>
      </c>
      <c r="AF286" s="202">
        <f t="shared" ref="AF286" si="792">AF285+AE286</f>
        <v>1</v>
      </c>
      <c r="AG286" s="202">
        <f t="shared" ref="AG286" si="793">AG285+AF286</f>
        <v>1</v>
      </c>
      <c r="AH286" s="202">
        <f t="shared" ref="AH286" si="794">AH285+AG286</f>
        <v>1</v>
      </c>
      <c r="AI286" s="202">
        <f t="shared" ref="AI286" si="795">AI285+AH286</f>
        <v>1</v>
      </c>
      <c r="AJ286" s="202">
        <f t="shared" ref="AJ286" si="796">AJ285+AI286</f>
        <v>1</v>
      </c>
      <c r="AK286" s="202">
        <f t="shared" ref="AK286" si="797">AK285+AJ286</f>
        <v>1</v>
      </c>
      <c r="AL286" s="202">
        <f t="shared" ref="AL286" si="798">AL285+AK286</f>
        <v>1</v>
      </c>
      <c r="AM286" s="202">
        <f t="shared" ref="AM286" si="799">AM285+AL286</f>
        <v>1</v>
      </c>
      <c r="AN286" s="202">
        <f t="shared" ref="AN286" si="800">AN285+AM286</f>
        <v>1</v>
      </c>
      <c r="AO286" s="202">
        <f t="shared" ref="AO286" si="801">AO285+AN286</f>
        <v>1</v>
      </c>
      <c r="AP286" s="202">
        <f t="shared" ref="AP286" si="802">AP285+AO286</f>
        <v>1</v>
      </c>
      <c r="AQ286" s="202">
        <f t="shared" ref="AQ286" si="803">AQ285+AP286</f>
        <v>1</v>
      </c>
      <c r="AR286" s="202">
        <f t="shared" ref="AR286" si="804">AR285+AQ286</f>
        <v>1</v>
      </c>
      <c r="AS286" s="202">
        <f t="shared" ref="AS286" si="805">AS285+AR286</f>
        <v>1</v>
      </c>
      <c r="AT286" s="202">
        <f t="shared" ref="AT286" si="806">AT285+AS286</f>
        <v>1</v>
      </c>
      <c r="AU286" s="202">
        <f t="shared" ref="AU286" si="807">AU285+AT286</f>
        <v>1</v>
      </c>
      <c r="AV286" s="202">
        <f t="shared" ref="AV286" si="808">AV285+AU286</f>
        <v>1</v>
      </c>
      <c r="AW286" s="202">
        <f t="shared" ref="AW286" si="809">AW285+AV286</f>
        <v>1</v>
      </c>
      <c r="AX286" s="202">
        <f t="shared" ref="AX286" si="810">AX285+AW286</f>
        <v>1</v>
      </c>
      <c r="AY286" s="202">
        <f t="shared" ref="AY286" si="811">AY285+AX286</f>
        <v>1</v>
      </c>
      <c r="AZ286" s="202">
        <f t="shared" ref="AZ286" si="812">AZ285+AY286</f>
        <v>1</v>
      </c>
      <c r="BA286" s="202">
        <f t="shared" ref="BA286" si="813">BA285+AZ286</f>
        <v>1</v>
      </c>
      <c r="BB286" s="202">
        <f t="shared" ref="BB286" si="814">BB285+BA286</f>
        <v>1</v>
      </c>
      <c r="BC286" s="202">
        <f t="shared" ref="BC286" si="815">BC285+BB286</f>
        <v>1</v>
      </c>
      <c r="BD286" s="202">
        <f t="shared" ref="BD286" si="816">BD285+BC286</f>
        <v>1</v>
      </c>
      <c r="BE286" s="202">
        <f t="shared" ref="BE286" si="817">BE285+BD286</f>
        <v>1</v>
      </c>
      <c r="BF286" s="202">
        <f t="shared" ref="BF286" si="818">BF285+BE286</f>
        <v>1</v>
      </c>
      <c r="BG286" s="202">
        <f t="shared" ref="BG286" si="819">BG285+BF286</f>
        <v>1</v>
      </c>
      <c r="BH286" s="202">
        <f t="shared" ref="BH286" si="820">BH285+BG286</f>
        <v>1</v>
      </c>
      <c r="BI286" s="202">
        <f t="shared" ref="BI286" si="821">BI285+BH286</f>
        <v>1</v>
      </c>
    </row>
    <row r="287" spans="1:63" s="140" customFormat="1" ht="10.199999999999999" x14ac:dyDescent="0.25">
      <c r="I287" s="145"/>
      <c r="J287" s="145"/>
      <c r="K287" s="145"/>
      <c r="L287" s="146"/>
      <c r="M287" s="146"/>
      <c r="N287" s="146"/>
      <c r="O287" s="146"/>
      <c r="P287" s="146"/>
      <c r="Q287" s="146"/>
      <c r="R287" s="146"/>
      <c r="S287" s="146"/>
      <c r="T287" s="139"/>
      <c r="U287" s="139"/>
      <c r="V287" s="139"/>
      <c r="W287" s="139"/>
      <c r="X287" s="139"/>
      <c r="Y287" s="139"/>
      <c r="Z287" s="139"/>
      <c r="AA287" s="139"/>
      <c r="AB287" s="139"/>
      <c r="AC287" s="139"/>
      <c r="AD287" s="139"/>
      <c r="AE287" s="139"/>
      <c r="AF287" s="139"/>
      <c r="AG287" s="139"/>
      <c r="AH287" s="139"/>
      <c r="AI287" s="139"/>
      <c r="AJ287" s="139"/>
      <c r="AK287" s="139"/>
      <c r="AL287" s="139"/>
      <c r="AM287" s="139"/>
      <c r="AN287" s="139"/>
      <c r="AO287" s="139"/>
      <c r="AP287" s="139"/>
      <c r="AQ287" s="139"/>
      <c r="AR287" s="139"/>
      <c r="AS287" s="139"/>
      <c r="AT287" s="139"/>
      <c r="AU287" s="139"/>
      <c r="AV287" s="139"/>
      <c r="AW287" s="139"/>
      <c r="AX287" s="139"/>
      <c r="AY287" s="139"/>
      <c r="AZ287" s="139"/>
      <c r="BA287" s="139"/>
      <c r="BB287" s="139"/>
      <c r="BC287" s="139"/>
      <c r="BD287" s="139"/>
      <c r="BE287" s="139"/>
      <c r="BF287" s="139"/>
      <c r="BG287" s="139"/>
      <c r="BH287" s="139"/>
      <c r="BI287" s="139"/>
    </row>
    <row r="288" spans="1:63" s="140" customFormat="1" ht="10.199999999999999" x14ac:dyDescent="0.25">
      <c r="I288" s="145"/>
      <c r="J288" s="145"/>
      <c r="K288" s="145"/>
      <c r="L288" s="146"/>
      <c r="M288" s="146"/>
      <c r="N288" s="146"/>
      <c r="O288" s="146"/>
      <c r="P288" s="146"/>
      <c r="Q288" s="146"/>
      <c r="R288" s="146"/>
      <c r="S288" s="146"/>
      <c r="T288" s="139"/>
      <c r="U288" s="139"/>
      <c r="V288" s="139"/>
      <c r="W288" s="139"/>
      <c r="X288" s="139"/>
      <c r="Y288" s="139"/>
      <c r="Z288" s="139"/>
      <c r="AA288" s="139"/>
      <c r="AB288" s="139"/>
      <c r="AC288" s="139"/>
      <c r="AD288" s="139"/>
      <c r="AE288" s="139"/>
      <c r="AF288" s="139"/>
      <c r="AG288" s="139"/>
      <c r="AH288" s="139"/>
      <c r="AI288" s="139"/>
      <c r="AJ288" s="139"/>
      <c r="AK288" s="139"/>
      <c r="AL288" s="139"/>
      <c r="AM288" s="139"/>
      <c r="AN288" s="139"/>
      <c r="AO288" s="139"/>
      <c r="AP288" s="139"/>
      <c r="AQ288" s="139"/>
      <c r="AR288" s="139"/>
      <c r="AS288" s="139"/>
      <c r="AT288" s="139"/>
      <c r="AU288" s="139"/>
      <c r="AV288" s="139"/>
      <c r="AW288" s="139"/>
      <c r="AX288" s="139"/>
      <c r="AY288" s="139"/>
      <c r="AZ288" s="139"/>
      <c r="BA288" s="139"/>
      <c r="BB288" s="139"/>
      <c r="BC288" s="139"/>
      <c r="BD288" s="139"/>
      <c r="BE288" s="139"/>
      <c r="BF288" s="139"/>
      <c r="BG288" s="139"/>
      <c r="BH288" s="139"/>
      <c r="BI288" s="139"/>
    </row>
    <row r="289" spans="1:63" s="47" customFormat="1" ht="21.75" customHeight="1" x14ac:dyDescent="0.25">
      <c r="A289" s="155" t="s">
        <v>110</v>
      </c>
      <c r="B289" s="203" t="str">
        <f>Empreendimentos!A152</f>
        <v>JARDIM 04</v>
      </c>
      <c r="C289" s="156"/>
      <c r="D289" s="156"/>
      <c r="E289" s="157"/>
      <c r="F289" s="216">
        <f>SUM(F290,F292)</f>
        <v>131239.27300000002</v>
      </c>
      <c r="G289" s="216">
        <f>G292</f>
        <v>78743.563800000004</v>
      </c>
      <c r="H289" s="213">
        <f>SUM(H290,H292)</f>
        <v>301850327.90000004</v>
      </c>
      <c r="I289" s="213">
        <f>SUM(I290,I292)</f>
        <v>611457098.9321779</v>
      </c>
      <c r="J289" s="198">
        <f>H289/$H$295</f>
        <v>1</v>
      </c>
      <c r="K289" s="198">
        <f>I289/$I$300</f>
        <v>1</v>
      </c>
      <c r="L289" s="158"/>
      <c r="M289" s="159"/>
      <c r="N289" s="159"/>
      <c r="O289" s="159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160"/>
      <c r="AA289" s="160"/>
      <c r="AB289" s="160"/>
      <c r="AC289" s="160"/>
      <c r="AD289" s="160"/>
      <c r="AE289" s="160"/>
      <c r="AF289" s="160"/>
      <c r="AG289" s="161"/>
      <c r="AH289" s="161"/>
      <c r="AI289" s="161"/>
      <c r="AJ289" s="161"/>
      <c r="AK289" s="161"/>
      <c r="AL289" s="161"/>
      <c r="AM289" s="161"/>
      <c r="AN289" s="161"/>
      <c r="AO289" s="161"/>
      <c r="AP289" s="161"/>
      <c r="AQ289" s="161"/>
      <c r="AR289" s="161"/>
      <c r="AS289" s="161"/>
      <c r="AT289" s="161"/>
      <c r="AU289" s="161"/>
      <c r="AV289" s="161"/>
      <c r="AW289" s="161"/>
      <c r="AX289" s="161"/>
      <c r="AY289" s="161"/>
      <c r="AZ289" s="161"/>
      <c r="BA289" s="161"/>
      <c r="BB289" s="161"/>
      <c r="BC289" s="161"/>
      <c r="BD289" s="161"/>
      <c r="BE289" s="161"/>
      <c r="BF289" s="161"/>
      <c r="BG289" s="161"/>
      <c r="BH289" s="161"/>
      <c r="BI289" s="162"/>
      <c r="BJ289" s="119">
        <f>SUM(L289:BI289)</f>
        <v>0</v>
      </c>
      <c r="BK289" s="33"/>
    </row>
    <row r="290" spans="1:63" ht="21.75" customHeight="1" x14ac:dyDescent="0.25">
      <c r="A290" s="193"/>
      <c r="B290" s="154" t="s">
        <v>228</v>
      </c>
      <c r="C290" s="197" t="str">
        <f>$C$344</f>
        <v>Lote Jardins</v>
      </c>
      <c r="D290" s="188"/>
      <c r="E290" s="189"/>
      <c r="F290" s="190">
        <f>Empreendimentos!H153</f>
        <v>131239.27300000002</v>
      </c>
      <c r="G290" s="190">
        <f>F290</f>
        <v>131239.27300000002</v>
      </c>
      <c r="H290" s="191">
        <f>F290*VLOOKUP(C290,$C$337:$E$351,2,FALSE)</f>
        <v>301850327.90000004</v>
      </c>
      <c r="I290" s="192">
        <f>G290*VLOOKUP(C290,$C$337:$E$351,3,FALSE)</f>
        <v>59057672.850000009</v>
      </c>
      <c r="J290" s="205">
        <f>H290/$H$295</f>
        <v>1</v>
      </c>
      <c r="K290" s="205">
        <f>I290/$I$300</f>
        <v>9.658514547158871E-2</v>
      </c>
      <c r="L290" s="181"/>
      <c r="M290" s="182">
        <f>'Cronogramaa Fisico'!E41</f>
        <v>0</v>
      </c>
      <c r="N290" s="182">
        <f>'Cronogramaa Fisico'!F41</f>
        <v>0</v>
      </c>
      <c r="O290" s="182">
        <f>'Cronogramaa Fisico'!G41</f>
        <v>0</v>
      </c>
      <c r="P290" s="182">
        <f>'Cronogramaa Fisico'!H41</f>
        <v>0</v>
      </c>
      <c r="Q290" s="182">
        <f>'Cronogramaa Fisico'!I41</f>
        <v>0</v>
      </c>
      <c r="R290" s="182">
        <f>'Cronogramaa Fisico'!J41</f>
        <v>0</v>
      </c>
      <c r="S290" s="182">
        <f>'Cronogramaa Fisico'!K41</f>
        <v>0.4</v>
      </c>
      <c r="T290" s="182">
        <f>'Cronogramaa Fisico'!L41</f>
        <v>0.6</v>
      </c>
      <c r="U290" s="182">
        <f>'Cronogramaa Fisico'!M41</f>
        <v>0</v>
      </c>
      <c r="V290" s="182">
        <f>'Cronogramaa Fisico'!N41</f>
        <v>0</v>
      </c>
      <c r="W290" s="182">
        <f>'Cronogramaa Fisico'!O41</f>
        <v>0</v>
      </c>
      <c r="X290" s="182">
        <f>'Cronogramaa Fisico'!P41</f>
        <v>0</v>
      </c>
      <c r="Y290" s="182">
        <f>'Cronogramaa Fisico'!Q41</f>
        <v>0</v>
      </c>
      <c r="Z290" s="182">
        <f>'Cronogramaa Fisico'!R41</f>
        <v>0</v>
      </c>
      <c r="AA290" s="182">
        <f>'Cronogramaa Fisico'!S41</f>
        <v>0</v>
      </c>
      <c r="AB290" s="182">
        <f>'Cronogramaa Fisico'!T41</f>
        <v>0</v>
      </c>
      <c r="AC290" s="182">
        <f>'Cronogramaa Fisico'!U41</f>
        <v>0</v>
      </c>
      <c r="AD290" s="182">
        <f>'Cronogramaa Fisico'!V41</f>
        <v>0</v>
      </c>
      <c r="AE290" s="182">
        <f>'Cronogramaa Fisico'!W41</f>
        <v>0</v>
      </c>
      <c r="AF290" s="182">
        <f>'Cronogramaa Fisico'!X41</f>
        <v>0</v>
      </c>
      <c r="AG290" s="182">
        <f>'Cronogramaa Fisico'!Y41</f>
        <v>0</v>
      </c>
      <c r="AH290" s="182">
        <f>'Cronogramaa Fisico'!Z41</f>
        <v>0</v>
      </c>
      <c r="AI290" s="182">
        <f>'Cronogramaa Fisico'!AA41</f>
        <v>0</v>
      </c>
      <c r="AJ290" s="182">
        <f>'Cronogramaa Fisico'!AB41</f>
        <v>0</v>
      </c>
      <c r="AK290" s="182">
        <f>'Cronogramaa Fisico'!AC41</f>
        <v>0</v>
      </c>
      <c r="AL290" s="182">
        <f>'Cronogramaa Fisico'!AD41</f>
        <v>0</v>
      </c>
      <c r="AM290" s="182">
        <f>'Cronogramaa Fisico'!AE41</f>
        <v>0</v>
      </c>
      <c r="AN290" s="182">
        <f>'Cronogramaa Fisico'!AF41</f>
        <v>0</v>
      </c>
      <c r="AO290" s="182">
        <f>'Cronogramaa Fisico'!AG41</f>
        <v>0</v>
      </c>
      <c r="AP290" s="182">
        <f>'Cronogramaa Fisico'!AH41</f>
        <v>0</v>
      </c>
      <c r="AQ290" s="182">
        <f>'Cronogramaa Fisico'!AI41</f>
        <v>0</v>
      </c>
      <c r="AR290" s="182">
        <f>'Cronogramaa Fisico'!AJ41</f>
        <v>0</v>
      </c>
      <c r="AS290" s="182">
        <f>'Cronogramaa Fisico'!AK41</f>
        <v>0</v>
      </c>
      <c r="AT290" s="182">
        <f>'Cronogramaa Fisico'!AL41</f>
        <v>0</v>
      </c>
      <c r="AU290" s="182">
        <f>'Cronogramaa Fisico'!AM41</f>
        <v>0</v>
      </c>
      <c r="AV290" s="182">
        <f>'Cronogramaa Fisico'!AN41</f>
        <v>0</v>
      </c>
      <c r="AW290" s="182">
        <f>'Cronogramaa Fisico'!AO41</f>
        <v>0</v>
      </c>
      <c r="AX290" s="182">
        <f>'Cronogramaa Fisico'!AP41</f>
        <v>0</v>
      </c>
      <c r="AY290" s="182">
        <f>'Cronogramaa Fisico'!AQ41</f>
        <v>0</v>
      </c>
      <c r="AZ290" s="182">
        <f>'Cronogramaa Fisico'!AR41</f>
        <v>0</v>
      </c>
      <c r="BA290" s="182">
        <f>'Cronogramaa Fisico'!AS41</f>
        <v>0</v>
      </c>
      <c r="BB290" s="182">
        <f>'Cronogramaa Fisico'!AT41</f>
        <v>0</v>
      </c>
      <c r="BC290" s="182">
        <f>'Cronogramaa Fisico'!AU41</f>
        <v>0</v>
      </c>
      <c r="BD290" s="182">
        <f>'Cronogramaa Fisico'!AV41</f>
        <v>0</v>
      </c>
      <c r="BE290" s="182">
        <f>'Cronogramaa Fisico'!AW41</f>
        <v>0</v>
      </c>
      <c r="BF290" s="182">
        <f>'Cronogramaa Fisico'!AX41</f>
        <v>0</v>
      </c>
      <c r="BG290" s="182">
        <f>'Cronogramaa Fisico'!AY41</f>
        <v>0</v>
      </c>
      <c r="BH290" s="182">
        <f>'Cronogramaa Fisico'!AZ41</f>
        <v>0</v>
      </c>
      <c r="BI290" s="185"/>
      <c r="BJ290" s="119"/>
      <c r="BK290" s="11"/>
    </row>
    <row r="291" spans="1:63" ht="9.6" customHeight="1" x14ac:dyDescent="0.25">
      <c r="A291" s="120"/>
      <c r="B291" s="219"/>
      <c r="C291" s="174"/>
      <c r="D291" s="148"/>
      <c r="E291" s="173"/>
      <c r="F291" s="149"/>
      <c r="G291" s="149"/>
      <c r="H291" s="179"/>
      <c r="I291" s="180"/>
      <c r="J291" s="204"/>
      <c r="K291" s="204"/>
      <c r="L291" s="123"/>
      <c r="M291" s="124"/>
      <c r="N291" s="124"/>
      <c r="O291" s="128"/>
      <c r="P291" s="128"/>
      <c r="Q291" s="128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  <c r="AD291" s="125"/>
      <c r="AE291" s="125"/>
      <c r="AF291" s="125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126"/>
      <c r="AS291" s="126"/>
      <c r="AT291" s="126"/>
      <c r="AU291" s="126"/>
      <c r="AV291" s="126"/>
      <c r="AW291" s="126"/>
      <c r="AX291" s="126"/>
      <c r="AY291" s="126"/>
      <c r="AZ291" s="126"/>
      <c r="BA291" s="126"/>
      <c r="BB291" s="126"/>
      <c r="BC291" s="126"/>
      <c r="BD291" s="126"/>
      <c r="BE291" s="126"/>
      <c r="BF291" s="126"/>
      <c r="BG291" s="126"/>
      <c r="BH291" s="126"/>
      <c r="BI291" s="127"/>
      <c r="BJ291" s="119"/>
    </row>
    <row r="292" spans="1:63" ht="21.75" customHeight="1" x14ac:dyDescent="0.25">
      <c r="A292" s="193"/>
      <c r="B292" s="154" t="s">
        <v>229</v>
      </c>
      <c r="C292" s="197" t="str">
        <f>$C$345</f>
        <v>Residências</v>
      </c>
      <c r="D292" s="188">
        <f>Empreendimentos!J266</f>
        <v>0</v>
      </c>
      <c r="E292" s="189">
        <f>Empreendimentos!K266</f>
        <v>0</v>
      </c>
      <c r="F292" s="190"/>
      <c r="G292" s="190">
        <f>G290*0.6</f>
        <v>78743.563800000004</v>
      </c>
      <c r="H292" s="191">
        <f>F292*VLOOKUP(C292,$C$337:$E$351,2,FALSE)</f>
        <v>0</v>
      </c>
      <c r="I292" s="192">
        <f>G292*VLOOKUP(C292,$C$337:$E$351,3,FALSE)</f>
        <v>552399426.08217788</v>
      </c>
      <c r="J292" s="205">
        <f>H292/$H$295</f>
        <v>0</v>
      </c>
      <c r="K292" s="205">
        <f>I292/$I$300</f>
        <v>0.9034148545284113</v>
      </c>
      <c r="L292" s="181"/>
      <c r="M292" s="182"/>
      <c r="N292" s="182"/>
      <c r="O292" s="182"/>
      <c r="P292" s="183"/>
      <c r="Q292" s="182"/>
      <c r="R292" s="182"/>
      <c r="S292" s="182"/>
      <c r="T292" s="182"/>
      <c r="U292" s="124">
        <v>0.05</v>
      </c>
      <c r="V292" s="128">
        <v>0.06</v>
      </c>
      <c r="W292" s="128">
        <v>0.08</v>
      </c>
      <c r="X292" s="128">
        <v>0.09</v>
      </c>
      <c r="Y292" s="129">
        <v>0.1</v>
      </c>
      <c r="Z292" s="129">
        <v>0.12</v>
      </c>
      <c r="AA292" s="129">
        <v>0.1</v>
      </c>
      <c r="AB292" s="129">
        <v>0.08</v>
      </c>
      <c r="AC292" s="129">
        <v>0.06</v>
      </c>
      <c r="AD292" s="129">
        <v>0.05</v>
      </c>
      <c r="AE292" s="129">
        <v>0.05</v>
      </c>
      <c r="AF292" s="129">
        <v>0.04</v>
      </c>
      <c r="AG292" s="129">
        <v>0.04</v>
      </c>
      <c r="AH292" s="129">
        <v>0.03</v>
      </c>
      <c r="AI292" s="129">
        <v>0.03</v>
      </c>
      <c r="AJ292" s="129">
        <v>0.02</v>
      </c>
      <c r="AK292" s="184"/>
      <c r="AL292" s="184"/>
      <c r="AM292" s="184"/>
      <c r="AN292" s="184"/>
      <c r="AO292" s="184"/>
      <c r="AP292" s="184"/>
      <c r="AQ292" s="184"/>
      <c r="AR292" s="184"/>
      <c r="AS292" s="184"/>
      <c r="AT292" s="184"/>
      <c r="AU292" s="184"/>
      <c r="AV292" s="184"/>
      <c r="AW292" s="184"/>
      <c r="AX292" s="184"/>
      <c r="AY292" s="184"/>
      <c r="AZ292" s="184"/>
      <c r="BA292" s="184"/>
      <c r="BB292" s="184"/>
      <c r="BC292" s="184"/>
      <c r="BD292" s="184"/>
      <c r="BE292" s="184"/>
      <c r="BF292" s="184"/>
      <c r="BG292" s="184"/>
      <c r="BH292" s="184"/>
      <c r="BI292" s="185"/>
      <c r="BJ292" s="119"/>
      <c r="BK292" s="11"/>
    </row>
    <row r="293" spans="1:63" s="13" customFormat="1" ht="9.6" customHeight="1" x14ac:dyDescent="0.25">
      <c r="A293" s="130"/>
      <c r="B293" s="131"/>
      <c r="C293" s="131"/>
      <c r="D293" s="131"/>
      <c r="E293" s="131"/>
      <c r="F293" s="131"/>
      <c r="G293" s="131"/>
      <c r="H293" s="131"/>
      <c r="I293" s="132"/>
      <c r="J293" s="207">
        <f>H293/$H$42</f>
        <v>0</v>
      </c>
      <c r="K293" s="207">
        <f>I293/$H$42</f>
        <v>0</v>
      </c>
      <c r="L293" s="133"/>
      <c r="M293" s="134"/>
      <c r="N293" s="134"/>
      <c r="O293" s="134"/>
      <c r="P293" s="135"/>
      <c r="Q293" s="135"/>
      <c r="R293" s="135"/>
      <c r="S293" s="135"/>
      <c r="T293" s="136"/>
      <c r="U293" s="136"/>
      <c r="V293" s="136"/>
      <c r="W293" s="136"/>
      <c r="X293" s="136"/>
      <c r="Y293" s="136"/>
      <c r="Z293" s="136"/>
      <c r="AA293" s="136"/>
      <c r="AB293" s="136"/>
      <c r="AC293" s="136"/>
      <c r="AD293" s="136"/>
      <c r="AE293" s="136"/>
      <c r="AF293" s="136"/>
      <c r="AG293" s="137"/>
      <c r="AH293" s="137"/>
      <c r="AI293" s="137"/>
      <c r="AJ293" s="137"/>
      <c r="AK293" s="137"/>
      <c r="AL293" s="137"/>
      <c r="AM293" s="137"/>
      <c r="AN293" s="137"/>
      <c r="AO293" s="137"/>
      <c r="AP293" s="137"/>
      <c r="AQ293" s="137"/>
      <c r="AR293" s="137"/>
      <c r="AS293" s="137"/>
      <c r="AT293" s="137"/>
      <c r="AU293" s="137"/>
      <c r="AV293" s="137"/>
      <c r="AW293" s="137"/>
      <c r="AX293" s="137"/>
      <c r="AY293" s="137"/>
      <c r="AZ293" s="137"/>
      <c r="BA293" s="137"/>
      <c r="BB293" s="137"/>
      <c r="BC293" s="137"/>
      <c r="BD293" s="137"/>
      <c r="BE293" s="137"/>
      <c r="BF293" s="137"/>
      <c r="BG293" s="137"/>
      <c r="BH293" s="137"/>
      <c r="BI293" s="138"/>
      <c r="BJ293" s="119">
        <f>SUM(K293:AI293)</f>
        <v>0</v>
      </c>
    </row>
    <row r="294" spans="1:63" s="13" customFormat="1" ht="7.8" customHeight="1" x14ac:dyDescent="0.25">
      <c r="A294" s="139"/>
      <c r="B294" s="140"/>
      <c r="C294" s="140"/>
      <c r="D294" s="140"/>
      <c r="E294" s="140"/>
      <c r="F294" s="140"/>
      <c r="G294" s="140"/>
      <c r="H294" s="140"/>
      <c r="I294" s="141"/>
      <c r="J294" s="140"/>
      <c r="K294" s="140"/>
      <c r="L294" s="139"/>
      <c r="M294" s="139"/>
      <c r="N294" s="139"/>
      <c r="O294" s="139"/>
      <c r="P294" s="139"/>
      <c r="Q294" s="139"/>
      <c r="R294" s="139"/>
      <c r="S294" s="139"/>
      <c r="T294" s="142"/>
      <c r="U294" s="142"/>
      <c r="V294" s="142"/>
      <c r="W294" s="142"/>
      <c r="X294" s="142"/>
      <c r="Y294" s="142"/>
      <c r="Z294" s="142"/>
      <c r="AA294" s="142"/>
      <c r="AB294" s="142"/>
      <c r="AC294" s="142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  <c r="AO294" s="142"/>
      <c r="AP294" s="142"/>
      <c r="AQ294" s="142"/>
      <c r="AR294" s="142"/>
      <c r="AS294" s="142"/>
      <c r="AT294" s="142"/>
      <c r="AU294" s="142"/>
      <c r="AV294" s="142"/>
      <c r="AW294" s="142"/>
      <c r="AX294" s="142"/>
      <c r="AY294" s="142"/>
      <c r="AZ294" s="142"/>
      <c r="BA294" s="142"/>
      <c r="BB294" s="142"/>
      <c r="BC294" s="142"/>
      <c r="BD294" s="142"/>
      <c r="BE294" s="142"/>
      <c r="BF294" s="142"/>
      <c r="BG294" s="142"/>
      <c r="BH294" s="142"/>
      <c r="BI294" s="142"/>
      <c r="BJ294" s="143"/>
    </row>
    <row r="295" spans="1:63" s="144" customFormat="1" ht="18" customHeight="1" x14ac:dyDescent="0.25">
      <c r="A295" s="379" t="s">
        <v>223</v>
      </c>
      <c r="B295" s="380"/>
      <c r="C295" s="385" t="s">
        <v>168</v>
      </c>
      <c r="D295" s="386"/>
      <c r="E295" s="386"/>
      <c r="F295" s="386"/>
      <c r="G295" s="387"/>
      <c r="H295" s="388">
        <f>H289</f>
        <v>301850327.90000004</v>
      </c>
      <c r="I295" s="388"/>
      <c r="J295" s="389">
        <f>J289</f>
        <v>1</v>
      </c>
      <c r="K295" s="389"/>
      <c r="L295" s="163">
        <f t="shared" ref="L295:AQ295" si="822">SUMPRODUCT($H290:$H293,L290:L293)</f>
        <v>0</v>
      </c>
      <c r="M295" s="163">
        <f t="shared" si="822"/>
        <v>0</v>
      </c>
      <c r="N295" s="163">
        <f t="shared" si="822"/>
        <v>0</v>
      </c>
      <c r="O295" s="163">
        <f t="shared" si="822"/>
        <v>0</v>
      </c>
      <c r="P295" s="163">
        <f t="shared" si="822"/>
        <v>0</v>
      </c>
      <c r="Q295" s="163">
        <f t="shared" si="822"/>
        <v>0</v>
      </c>
      <c r="R295" s="163">
        <f t="shared" si="822"/>
        <v>0</v>
      </c>
      <c r="S295" s="163">
        <f t="shared" si="822"/>
        <v>120740131.16000003</v>
      </c>
      <c r="T295" s="163">
        <f t="shared" si="822"/>
        <v>181110196.74000001</v>
      </c>
      <c r="U295" s="163">
        <f t="shared" si="822"/>
        <v>0</v>
      </c>
      <c r="V295" s="163">
        <f t="shared" si="822"/>
        <v>0</v>
      </c>
      <c r="W295" s="163">
        <f t="shared" si="822"/>
        <v>0</v>
      </c>
      <c r="X295" s="163">
        <f t="shared" si="822"/>
        <v>0</v>
      </c>
      <c r="Y295" s="163">
        <f t="shared" si="822"/>
        <v>0</v>
      </c>
      <c r="Z295" s="163">
        <f t="shared" si="822"/>
        <v>0</v>
      </c>
      <c r="AA295" s="163">
        <f t="shared" si="822"/>
        <v>0</v>
      </c>
      <c r="AB295" s="163">
        <f t="shared" si="822"/>
        <v>0</v>
      </c>
      <c r="AC295" s="163">
        <f t="shared" si="822"/>
        <v>0</v>
      </c>
      <c r="AD295" s="163">
        <f t="shared" si="822"/>
        <v>0</v>
      </c>
      <c r="AE295" s="163">
        <f t="shared" si="822"/>
        <v>0</v>
      </c>
      <c r="AF295" s="163">
        <f t="shared" si="822"/>
        <v>0</v>
      </c>
      <c r="AG295" s="163">
        <f t="shared" si="822"/>
        <v>0</v>
      </c>
      <c r="AH295" s="163">
        <f t="shared" si="822"/>
        <v>0</v>
      </c>
      <c r="AI295" s="163">
        <f t="shared" si="822"/>
        <v>0</v>
      </c>
      <c r="AJ295" s="163">
        <f t="shared" si="822"/>
        <v>0</v>
      </c>
      <c r="AK295" s="163">
        <f t="shared" si="822"/>
        <v>0</v>
      </c>
      <c r="AL295" s="163">
        <f t="shared" si="822"/>
        <v>0</v>
      </c>
      <c r="AM295" s="163">
        <f t="shared" si="822"/>
        <v>0</v>
      </c>
      <c r="AN295" s="163">
        <f t="shared" si="822"/>
        <v>0</v>
      </c>
      <c r="AO295" s="163">
        <f t="shared" si="822"/>
        <v>0</v>
      </c>
      <c r="AP295" s="163">
        <f t="shared" si="822"/>
        <v>0</v>
      </c>
      <c r="AQ295" s="163">
        <f t="shared" si="822"/>
        <v>0</v>
      </c>
      <c r="AR295" s="163">
        <f t="shared" ref="AR295:BI295" si="823">SUMPRODUCT($H290:$H293,AR290:AR293)</f>
        <v>0</v>
      </c>
      <c r="AS295" s="163">
        <f t="shared" si="823"/>
        <v>0</v>
      </c>
      <c r="AT295" s="163">
        <f t="shared" si="823"/>
        <v>0</v>
      </c>
      <c r="AU295" s="163">
        <f t="shared" si="823"/>
        <v>0</v>
      </c>
      <c r="AV295" s="163">
        <f t="shared" si="823"/>
        <v>0</v>
      </c>
      <c r="AW295" s="163">
        <f t="shared" si="823"/>
        <v>0</v>
      </c>
      <c r="AX295" s="163">
        <f t="shared" si="823"/>
        <v>0</v>
      </c>
      <c r="AY295" s="163">
        <f t="shared" si="823"/>
        <v>0</v>
      </c>
      <c r="AZ295" s="163">
        <f t="shared" si="823"/>
        <v>0</v>
      </c>
      <c r="BA295" s="163">
        <f t="shared" si="823"/>
        <v>0</v>
      </c>
      <c r="BB295" s="163">
        <f t="shared" si="823"/>
        <v>0</v>
      </c>
      <c r="BC295" s="163">
        <f t="shared" si="823"/>
        <v>0</v>
      </c>
      <c r="BD295" s="163">
        <f t="shared" si="823"/>
        <v>0</v>
      </c>
      <c r="BE295" s="163">
        <f t="shared" si="823"/>
        <v>0</v>
      </c>
      <c r="BF295" s="163">
        <f t="shared" si="823"/>
        <v>0</v>
      </c>
      <c r="BG295" s="163">
        <f t="shared" si="823"/>
        <v>0</v>
      </c>
      <c r="BH295" s="163">
        <f t="shared" si="823"/>
        <v>0</v>
      </c>
      <c r="BI295" s="163">
        <f t="shared" si="823"/>
        <v>0</v>
      </c>
    </row>
    <row r="296" spans="1:63" s="144" customFormat="1" ht="18" customHeight="1" x14ac:dyDescent="0.25">
      <c r="A296" s="381"/>
      <c r="B296" s="382"/>
      <c r="C296" s="385" t="s">
        <v>169</v>
      </c>
      <c r="D296" s="386"/>
      <c r="E296" s="386"/>
      <c r="F296" s="386"/>
      <c r="G296" s="387"/>
      <c r="H296" s="388"/>
      <c r="I296" s="388"/>
      <c r="J296" s="389"/>
      <c r="K296" s="389"/>
      <c r="L296" s="164">
        <f>L295</f>
        <v>0</v>
      </c>
      <c r="M296" s="164">
        <f>M295+L296</f>
        <v>0</v>
      </c>
      <c r="N296" s="164">
        <f t="shared" ref="N296:BI296" si="824">N295+M296</f>
        <v>0</v>
      </c>
      <c r="O296" s="164">
        <f t="shared" si="824"/>
        <v>0</v>
      </c>
      <c r="P296" s="164">
        <f t="shared" si="824"/>
        <v>0</v>
      </c>
      <c r="Q296" s="164">
        <f t="shared" si="824"/>
        <v>0</v>
      </c>
      <c r="R296" s="164">
        <f t="shared" si="824"/>
        <v>0</v>
      </c>
      <c r="S296" s="164">
        <f t="shared" si="824"/>
        <v>120740131.16000003</v>
      </c>
      <c r="T296" s="164">
        <f t="shared" si="824"/>
        <v>301850327.90000004</v>
      </c>
      <c r="U296" s="164">
        <f t="shared" si="824"/>
        <v>301850327.90000004</v>
      </c>
      <c r="V296" s="164">
        <f t="shared" si="824"/>
        <v>301850327.90000004</v>
      </c>
      <c r="W296" s="164">
        <f t="shared" si="824"/>
        <v>301850327.90000004</v>
      </c>
      <c r="X296" s="164">
        <f t="shared" si="824"/>
        <v>301850327.90000004</v>
      </c>
      <c r="Y296" s="164">
        <f t="shared" si="824"/>
        <v>301850327.90000004</v>
      </c>
      <c r="Z296" s="164">
        <f t="shared" si="824"/>
        <v>301850327.90000004</v>
      </c>
      <c r="AA296" s="164">
        <f t="shared" si="824"/>
        <v>301850327.90000004</v>
      </c>
      <c r="AB296" s="164">
        <f t="shared" si="824"/>
        <v>301850327.90000004</v>
      </c>
      <c r="AC296" s="164">
        <f t="shared" si="824"/>
        <v>301850327.90000004</v>
      </c>
      <c r="AD296" s="164">
        <f t="shared" si="824"/>
        <v>301850327.90000004</v>
      </c>
      <c r="AE296" s="164">
        <f t="shared" si="824"/>
        <v>301850327.90000004</v>
      </c>
      <c r="AF296" s="164">
        <f t="shared" si="824"/>
        <v>301850327.90000004</v>
      </c>
      <c r="AG296" s="164">
        <f t="shared" si="824"/>
        <v>301850327.90000004</v>
      </c>
      <c r="AH296" s="164">
        <f t="shared" si="824"/>
        <v>301850327.90000004</v>
      </c>
      <c r="AI296" s="164">
        <f t="shared" si="824"/>
        <v>301850327.90000004</v>
      </c>
      <c r="AJ296" s="164">
        <f t="shared" si="824"/>
        <v>301850327.90000004</v>
      </c>
      <c r="AK296" s="164">
        <f t="shared" si="824"/>
        <v>301850327.90000004</v>
      </c>
      <c r="AL296" s="164">
        <f t="shared" si="824"/>
        <v>301850327.90000004</v>
      </c>
      <c r="AM296" s="164">
        <f t="shared" si="824"/>
        <v>301850327.90000004</v>
      </c>
      <c r="AN296" s="164">
        <f t="shared" si="824"/>
        <v>301850327.90000004</v>
      </c>
      <c r="AO296" s="164">
        <f t="shared" si="824"/>
        <v>301850327.90000004</v>
      </c>
      <c r="AP296" s="164">
        <f t="shared" si="824"/>
        <v>301850327.90000004</v>
      </c>
      <c r="AQ296" s="164">
        <f t="shared" si="824"/>
        <v>301850327.90000004</v>
      </c>
      <c r="AR296" s="164">
        <f t="shared" si="824"/>
        <v>301850327.90000004</v>
      </c>
      <c r="AS296" s="164">
        <f t="shared" si="824"/>
        <v>301850327.90000004</v>
      </c>
      <c r="AT296" s="164">
        <f t="shared" si="824"/>
        <v>301850327.90000004</v>
      </c>
      <c r="AU296" s="164">
        <f t="shared" si="824"/>
        <v>301850327.90000004</v>
      </c>
      <c r="AV296" s="164">
        <f t="shared" si="824"/>
        <v>301850327.90000004</v>
      </c>
      <c r="AW296" s="164">
        <f t="shared" si="824"/>
        <v>301850327.90000004</v>
      </c>
      <c r="AX296" s="164">
        <f t="shared" si="824"/>
        <v>301850327.90000004</v>
      </c>
      <c r="AY296" s="164">
        <f t="shared" si="824"/>
        <v>301850327.90000004</v>
      </c>
      <c r="AZ296" s="164">
        <f t="shared" si="824"/>
        <v>301850327.90000004</v>
      </c>
      <c r="BA296" s="164">
        <f t="shared" si="824"/>
        <v>301850327.90000004</v>
      </c>
      <c r="BB296" s="164">
        <f t="shared" si="824"/>
        <v>301850327.90000004</v>
      </c>
      <c r="BC296" s="164">
        <f t="shared" si="824"/>
        <v>301850327.90000004</v>
      </c>
      <c r="BD296" s="164">
        <f t="shared" si="824"/>
        <v>301850327.90000004</v>
      </c>
      <c r="BE296" s="164">
        <f t="shared" si="824"/>
        <v>301850327.90000004</v>
      </c>
      <c r="BF296" s="164">
        <f t="shared" si="824"/>
        <v>301850327.90000004</v>
      </c>
      <c r="BG296" s="164">
        <f t="shared" si="824"/>
        <v>301850327.90000004</v>
      </c>
      <c r="BH296" s="164">
        <f t="shared" si="824"/>
        <v>301850327.90000004</v>
      </c>
      <c r="BI296" s="164">
        <f t="shared" si="824"/>
        <v>301850327.90000004</v>
      </c>
    </row>
    <row r="297" spans="1:63" s="144" customFormat="1" ht="18" customHeight="1" x14ac:dyDescent="0.25">
      <c r="A297" s="381"/>
      <c r="B297" s="382"/>
      <c r="C297" s="385" t="s">
        <v>170</v>
      </c>
      <c r="D297" s="386"/>
      <c r="E297" s="386"/>
      <c r="F297" s="386"/>
      <c r="G297" s="387"/>
      <c r="H297" s="388"/>
      <c r="I297" s="388"/>
      <c r="J297" s="389"/>
      <c r="K297" s="389"/>
      <c r="L297" s="165">
        <f>L295/$H$295</f>
        <v>0</v>
      </c>
      <c r="M297" s="165">
        <f>M295/$H$295</f>
        <v>0</v>
      </c>
      <c r="N297" s="165">
        <f t="shared" ref="N297:BI297" si="825">N295/$H$295</f>
        <v>0</v>
      </c>
      <c r="O297" s="165">
        <f t="shared" si="825"/>
        <v>0</v>
      </c>
      <c r="P297" s="165">
        <f t="shared" si="825"/>
        <v>0</v>
      </c>
      <c r="Q297" s="165">
        <f t="shared" si="825"/>
        <v>0</v>
      </c>
      <c r="R297" s="165">
        <f t="shared" si="825"/>
        <v>0</v>
      </c>
      <c r="S297" s="165">
        <f t="shared" si="825"/>
        <v>0.4</v>
      </c>
      <c r="T297" s="165">
        <f t="shared" si="825"/>
        <v>0.6</v>
      </c>
      <c r="U297" s="165">
        <f t="shared" si="825"/>
        <v>0</v>
      </c>
      <c r="V297" s="165">
        <f t="shared" si="825"/>
        <v>0</v>
      </c>
      <c r="W297" s="165">
        <f t="shared" si="825"/>
        <v>0</v>
      </c>
      <c r="X297" s="165">
        <f t="shared" si="825"/>
        <v>0</v>
      </c>
      <c r="Y297" s="165">
        <f t="shared" si="825"/>
        <v>0</v>
      </c>
      <c r="Z297" s="165">
        <f t="shared" si="825"/>
        <v>0</v>
      </c>
      <c r="AA297" s="165">
        <f t="shared" si="825"/>
        <v>0</v>
      </c>
      <c r="AB297" s="165">
        <f t="shared" si="825"/>
        <v>0</v>
      </c>
      <c r="AC297" s="165">
        <f t="shared" si="825"/>
        <v>0</v>
      </c>
      <c r="AD297" s="165">
        <f t="shared" si="825"/>
        <v>0</v>
      </c>
      <c r="AE297" s="165">
        <f t="shared" si="825"/>
        <v>0</v>
      </c>
      <c r="AF297" s="165">
        <f t="shared" si="825"/>
        <v>0</v>
      </c>
      <c r="AG297" s="165">
        <f t="shared" si="825"/>
        <v>0</v>
      </c>
      <c r="AH297" s="165">
        <f t="shared" si="825"/>
        <v>0</v>
      </c>
      <c r="AI297" s="165">
        <f t="shared" si="825"/>
        <v>0</v>
      </c>
      <c r="AJ297" s="165">
        <f t="shared" si="825"/>
        <v>0</v>
      </c>
      <c r="AK297" s="165">
        <f t="shared" si="825"/>
        <v>0</v>
      </c>
      <c r="AL297" s="165">
        <f t="shared" si="825"/>
        <v>0</v>
      </c>
      <c r="AM297" s="165">
        <f t="shared" si="825"/>
        <v>0</v>
      </c>
      <c r="AN297" s="165">
        <f t="shared" si="825"/>
        <v>0</v>
      </c>
      <c r="AO297" s="165">
        <f t="shared" si="825"/>
        <v>0</v>
      </c>
      <c r="AP297" s="165">
        <f t="shared" si="825"/>
        <v>0</v>
      </c>
      <c r="AQ297" s="165">
        <f t="shared" si="825"/>
        <v>0</v>
      </c>
      <c r="AR297" s="165">
        <f t="shared" si="825"/>
        <v>0</v>
      </c>
      <c r="AS297" s="165">
        <f t="shared" si="825"/>
        <v>0</v>
      </c>
      <c r="AT297" s="165">
        <f t="shared" si="825"/>
        <v>0</v>
      </c>
      <c r="AU297" s="165">
        <f t="shared" si="825"/>
        <v>0</v>
      </c>
      <c r="AV297" s="165">
        <f t="shared" si="825"/>
        <v>0</v>
      </c>
      <c r="AW297" s="165">
        <f t="shared" si="825"/>
        <v>0</v>
      </c>
      <c r="AX297" s="165">
        <f t="shared" si="825"/>
        <v>0</v>
      </c>
      <c r="AY297" s="165">
        <f t="shared" si="825"/>
        <v>0</v>
      </c>
      <c r="AZ297" s="165">
        <f t="shared" si="825"/>
        <v>0</v>
      </c>
      <c r="BA297" s="165">
        <f t="shared" si="825"/>
        <v>0</v>
      </c>
      <c r="BB297" s="165">
        <f t="shared" si="825"/>
        <v>0</v>
      </c>
      <c r="BC297" s="165">
        <f t="shared" si="825"/>
        <v>0</v>
      </c>
      <c r="BD297" s="165">
        <f t="shared" si="825"/>
        <v>0</v>
      </c>
      <c r="BE297" s="165">
        <f t="shared" si="825"/>
        <v>0</v>
      </c>
      <c r="BF297" s="165">
        <f t="shared" si="825"/>
        <v>0</v>
      </c>
      <c r="BG297" s="165">
        <f t="shared" si="825"/>
        <v>0</v>
      </c>
      <c r="BH297" s="165">
        <f t="shared" si="825"/>
        <v>0</v>
      </c>
      <c r="BI297" s="165">
        <f t="shared" si="825"/>
        <v>0</v>
      </c>
    </row>
    <row r="298" spans="1:63" s="144" customFormat="1" ht="18" customHeight="1" x14ac:dyDescent="0.25">
      <c r="A298" s="383"/>
      <c r="B298" s="384"/>
      <c r="C298" s="385" t="s">
        <v>171</v>
      </c>
      <c r="D298" s="386"/>
      <c r="E298" s="386"/>
      <c r="F298" s="386"/>
      <c r="G298" s="387"/>
      <c r="H298" s="388"/>
      <c r="I298" s="388"/>
      <c r="J298" s="389"/>
      <c r="K298" s="389"/>
      <c r="L298" s="165">
        <f>L297</f>
        <v>0</v>
      </c>
      <c r="M298" s="165">
        <f>M297+L298</f>
        <v>0</v>
      </c>
      <c r="N298" s="165">
        <f t="shared" ref="N298:BI298" si="826">N297+M298</f>
        <v>0</v>
      </c>
      <c r="O298" s="165">
        <f t="shared" si="826"/>
        <v>0</v>
      </c>
      <c r="P298" s="165">
        <f t="shared" si="826"/>
        <v>0</v>
      </c>
      <c r="Q298" s="165">
        <f t="shared" si="826"/>
        <v>0</v>
      </c>
      <c r="R298" s="165">
        <f t="shared" si="826"/>
        <v>0</v>
      </c>
      <c r="S298" s="165">
        <f t="shared" si="826"/>
        <v>0.4</v>
      </c>
      <c r="T298" s="165">
        <f t="shared" si="826"/>
        <v>1</v>
      </c>
      <c r="U298" s="165">
        <f t="shared" si="826"/>
        <v>1</v>
      </c>
      <c r="V298" s="165">
        <f t="shared" si="826"/>
        <v>1</v>
      </c>
      <c r="W298" s="165">
        <f t="shared" si="826"/>
        <v>1</v>
      </c>
      <c r="X298" s="165">
        <f t="shared" si="826"/>
        <v>1</v>
      </c>
      <c r="Y298" s="165">
        <f t="shared" si="826"/>
        <v>1</v>
      </c>
      <c r="Z298" s="165">
        <f t="shared" si="826"/>
        <v>1</v>
      </c>
      <c r="AA298" s="165">
        <f t="shared" si="826"/>
        <v>1</v>
      </c>
      <c r="AB298" s="165">
        <f t="shared" si="826"/>
        <v>1</v>
      </c>
      <c r="AC298" s="165">
        <f t="shared" si="826"/>
        <v>1</v>
      </c>
      <c r="AD298" s="165">
        <f t="shared" si="826"/>
        <v>1</v>
      </c>
      <c r="AE298" s="165">
        <f t="shared" si="826"/>
        <v>1</v>
      </c>
      <c r="AF298" s="165">
        <f t="shared" si="826"/>
        <v>1</v>
      </c>
      <c r="AG298" s="165">
        <f t="shared" si="826"/>
        <v>1</v>
      </c>
      <c r="AH298" s="165">
        <f t="shared" si="826"/>
        <v>1</v>
      </c>
      <c r="AI298" s="165">
        <f t="shared" si="826"/>
        <v>1</v>
      </c>
      <c r="AJ298" s="165">
        <f t="shared" si="826"/>
        <v>1</v>
      </c>
      <c r="AK298" s="165">
        <f t="shared" si="826"/>
        <v>1</v>
      </c>
      <c r="AL298" s="165">
        <f t="shared" si="826"/>
        <v>1</v>
      </c>
      <c r="AM298" s="165">
        <f t="shared" si="826"/>
        <v>1</v>
      </c>
      <c r="AN298" s="165">
        <f t="shared" si="826"/>
        <v>1</v>
      </c>
      <c r="AO298" s="165">
        <f t="shared" si="826"/>
        <v>1</v>
      </c>
      <c r="AP298" s="165">
        <f t="shared" si="826"/>
        <v>1</v>
      </c>
      <c r="AQ298" s="165">
        <f t="shared" si="826"/>
        <v>1</v>
      </c>
      <c r="AR298" s="165">
        <f t="shared" si="826"/>
        <v>1</v>
      </c>
      <c r="AS298" s="165">
        <f t="shared" si="826"/>
        <v>1</v>
      </c>
      <c r="AT298" s="165">
        <f t="shared" si="826"/>
        <v>1</v>
      </c>
      <c r="AU298" s="165">
        <f t="shared" si="826"/>
        <v>1</v>
      </c>
      <c r="AV298" s="165">
        <f t="shared" si="826"/>
        <v>1</v>
      </c>
      <c r="AW298" s="165">
        <f t="shared" si="826"/>
        <v>1</v>
      </c>
      <c r="AX298" s="165">
        <f t="shared" si="826"/>
        <v>1</v>
      </c>
      <c r="AY298" s="165">
        <f t="shared" si="826"/>
        <v>1</v>
      </c>
      <c r="AZ298" s="165">
        <f t="shared" si="826"/>
        <v>1</v>
      </c>
      <c r="BA298" s="165">
        <f t="shared" si="826"/>
        <v>1</v>
      </c>
      <c r="BB298" s="165">
        <f t="shared" si="826"/>
        <v>1</v>
      </c>
      <c r="BC298" s="165">
        <f t="shared" si="826"/>
        <v>1</v>
      </c>
      <c r="BD298" s="165">
        <f t="shared" si="826"/>
        <v>1</v>
      </c>
      <c r="BE298" s="165">
        <f t="shared" si="826"/>
        <v>1</v>
      </c>
      <c r="BF298" s="165">
        <f t="shared" si="826"/>
        <v>1</v>
      </c>
      <c r="BG298" s="165">
        <f t="shared" si="826"/>
        <v>1</v>
      </c>
      <c r="BH298" s="165">
        <f t="shared" si="826"/>
        <v>1</v>
      </c>
      <c r="BI298" s="165">
        <f t="shared" si="826"/>
        <v>1</v>
      </c>
    </row>
    <row r="299" spans="1:63" s="140" customFormat="1" ht="10.199999999999999" x14ac:dyDescent="0.25">
      <c r="I299" s="145"/>
      <c r="J299" s="145"/>
      <c r="K299" s="145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  <c r="AC299" s="146"/>
      <c r="AD299" s="146"/>
      <c r="AE299" s="146"/>
      <c r="AF299" s="146"/>
      <c r="AG299" s="146"/>
      <c r="AH299" s="146"/>
      <c r="AI299" s="146"/>
      <c r="AJ299" s="146"/>
      <c r="AK299" s="146"/>
      <c r="AL299" s="146"/>
      <c r="AM299" s="146"/>
      <c r="AN299" s="146"/>
      <c r="AO299" s="146"/>
      <c r="AP299" s="146"/>
      <c r="AQ299" s="146"/>
      <c r="AR299" s="146"/>
      <c r="AS299" s="146"/>
      <c r="AT299" s="146"/>
      <c r="AU299" s="146"/>
      <c r="AV299" s="146"/>
      <c r="AW299" s="146"/>
      <c r="AX299" s="146"/>
      <c r="AY299" s="146"/>
      <c r="AZ299" s="146"/>
      <c r="BA299" s="146"/>
      <c r="BB299" s="146"/>
      <c r="BC299" s="146"/>
      <c r="BD299" s="146"/>
      <c r="BE299" s="146"/>
      <c r="BF299" s="146"/>
      <c r="BG299" s="146"/>
      <c r="BH299" s="146"/>
      <c r="BI299" s="146"/>
    </row>
    <row r="300" spans="1:63" s="144" customFormat="1" ht="18" customHeight="1" x14ac:dyDescent="0.25">
      <c r="A300" s="368" t="s">
        <v>224</v>
      </c>
      <c r="B300" s="369"/>
      <c r="C300" s="374" t="s">
        <v>168</v>
      </c>
      <c r="D300" s="375"/>
      <c r="E300" s="375"/>
      <c r="F300" s="375"/>
      <c r="G300" s="376"/>
      <c r="H300" s="377"/>
      <c r="I300" s="377">
        <f>I289</f>
        <v>611457098.9321779</v>
      </c>
      <c r="J300" s="378"/>
      <c r="K300" s="378">
        <f>K289</f>
        <v>1</v>
      </c>
      <c r="L300" s="200">
        <f t="shared" ref="L300:M300" si="827">SUMPRODUCT($I290:$I293,L290:L293)</f>
        <v>0</v>
      </c>
      <c r="M300" s="200">
        <f t="shared" si="827"/>
        <v>0</v>
      </c>
      <c r="N300" s="200">
        <f t="shared" ref="N300:BI300" si="828">SUMPRODUCT($I290:$I293,N290:N293)</f>
        <v>0</v>
      </c>
      <c r="O300" s="200">
        <f t="shared" si="828"/>
        <v>0</v>
      </c>
      <c r="P300" s="200">
        <f t="shared" si="828"/>
        <v>0</v>
      </c>
      <c r="Q300" s="200">
        <f t="shared" si="828"/>
        <v>0</v>
      </c>
      <c r="R300" s="200">
        <f t="shared" si="828"/>
        <v>0</v>
      </c>
      <c r="S300" s="200">
        <f t="shared" si="828"/>
        <v>23623069.140000004</v>
      </c>
      <c r="T300" s="200">
        <f t="shared" si="828"/>
        <v>35434603.710000001</v>
      </c>
      <c r="U300" s="200">
        <f t="shared" si="828"/>
        <v>27619971.304108895</v>
      </c>
      <c r="V300" s="200">
        <f t="shared" si="828"/>
        <v>33143965.56493067</v>
      </c>
      <c r="W300" s="200">
        <f t="shared" si="828"/>
        <v>44191954.086574234</v>
      </c>
      <c r="X300" s="200">
        <f t="shared" si="828"/>
        <v>49715948.347396009</v>
      </c>
      <c r="Y300" s="200">
        <f t="shared" si="828"/>
        <v>55239942.608217791</v>
      </c>
      <c r="Z300" s="200">
        <f t="shared" si="828"/>
        <v>66287931.12986134</v>
      </c>
      <c r="AA300" s="200">
        <f t="shared" si="828"/>
        <v>55239942.608217791</v>
      </c>
      <c r="AB300" s="200">
        <f t="shared" si="828"/>
        <v>44191954.086574234</v>
      </c>
      <c r="AC300" s="200">
        <f t="shared" si="828"/>
        <v>33143965.56493067</v>
      </c>
      <c r="AD300" s="200">
        <f t="shared" si="828"/>
        <v>27619971.304108895</v>
      </c>
      <c r="AE300" s="200">
        <f t="shared" si="828"/>
        <v>27619971.304108895</v>
      </c>
      <c r="AF300" s="200">
        <f t="shared" si="828"/>
        <v>22095977.043287117</v>
      </c>
      <c r="AG300" s="200">
        <f t="shared" si="828"/>
        <v>22095977.043287117</v>
      </c>
      <c r="AH300" s="200">
        <f t="shared" si="828"/>
        <v>16571982.782465335</v>
      </c>
      <c r="AI300" s="200">
        <f t="shared" si="828"/>
        <v>16571982.782465335</v>
      </c>
      <c r="AJ300" s="200">
        <f t="shared" si="828"/>
        <v>11047988.521643559</v>
      </c>
      <c r="AK300" s="200">
        <f t="shared" si="828"/>
        <v>0</v>
      </c>
      <c r="AL300" s="200">
        <f t="shared" si="828"/>
        <v>0</v>
      </c>
      <c r="AM300" s="200">
        <f t="shared" si="828"/>
        <v>0</v>
      </c>
      <c r="AN300" s="200">
        <f t="shared" si="828"/>
        <v>0</v>
      </c>
      <c r="AO300" s="200">
        <f t="shared" si="828"/>
        <v>0</v>
      </c>
      <c r="AP300" s="200">
        <f t="shared" si="828"/>
        <v>0</v>
      </c>
      <c r="AQ300" s="200">
        <f t="shared" si="828"/>
        <v>0</v>
      </c>
      <c r="AR300" s="200">
        <f t="shared" si="828"/>
        <v>0</v>
      </c>
      <c r="AS300" s="200">
        <f t="shared" si="828"/>
        <v>0</v>
      </c>
      <c r="AT300" s="200">
        <f t="shared" si="828"/>
        <v>0</v>
      </c>
      <c r="AU300" s="200">
        <f t="shared" si="828"/>
        <v>0</v>
      </c>
      <c r="AV300" s="200">
        <f t="shared" si="828"/>
        <v>0</v>
      </c>
      <c r="AW300" s="200">
        <f t="shared" si="828"/>
        <v>0</v>
      </c>
      <c r="AX300" s="200">
        <f t="shared" si="828"/>
        <v>0</v>
      </c>
      <c r="AY300" s="200">
        <f t="shared" si="828"/>
        <v>0</v>
      </c>
      <c r="AZ300" s="200">
        <f t="shared" si="828"/>
        <v>0</v>
      </c>
      <c r="BA300" s="200">
        <f t="shared" si="828"/>
        <v>0</v>
      </c>
      <c r="BB300" s="200">
        <f t="shared" si="828"/>
        <v>0</v>
      </c>
      <c r="BC300" s="200">
        <f t="shared" si="828"/>
        <v>0</v>
      </c>
      <c r="BD300" s="200">
        <f t="shared" si="828"/>
        <v>0</v>
      </c>
      <c r="BE300" s="200">
        <f t="shared" si="828"/>
        <v>0</v>
      </c>
      <c r="BF300" s="200">
        <f t="shared" si="828"/>
        <v>0</v>
      </c>
      <c r="BG300" s="200">
        <f t="shared" si="828"/>
        <v>0</v>
      </c>
      <c r="BH300" s="200">
        <f t="shared" si="828"/>
        <v>0</v>
      </c>
      <c r="BI300" s="200">
        <f t="shared" si="828"/>
        <v>0</v>
      </c>
    </row>
    <row r="301" spans="1:63" s="144" customFormat="1" ht="18" customHeight="1" x14ac:dyDescent="0.25">
      <c r="A301" s="370"/>
      <c r="B301" s="371"/>
      <c r="C301" s="374" t="s">
        <v>169</v>
      </c>
      <c r="D301" s="375"/>
      <c r="E301" s="375"/>
      <c r="F301" s="375"/>
      <c r="G301" s="376"/>
      <c r="H301" s="377"/>
      <c r="I301" s="377"/>
      <c r="J301" s="378"/>
      <c r="K301" s="378"/>
      <c r="L301" s="201">
        <f>L300</f>
        <v>0</v>
      </c>
      <c r="M301" s="201">
        <f>M300+L301</f>
        <v>0</v>
      </c>
      <c r="N301" s="201">
        <f t="shared" ref="N301:BI301" si="829">N300+M301</f>
        <v>0</v>
      </c>
      <c r="O301" s="201">
        <f t="shared" si="829"/>
        <v>0</v>
      </c>
      <c r="P301" s="201">
        <f t="shared" si="829"/>
        <v>0</v>
      </c>
      <c r="Q301" s="201">
        <f t="shared" si="829"/>
        <v>0</v>
      </c>
      <c r="R301" s="201">
        <f t="shared" si="829"/>
        <v>0</v>
      </c>
      <c r="S301" s="201">
        <f t="shared" si="829"/>
        <v>23623069.140000004</v>
      </c>
      <c r="T301" s="201">
        <f t="shared" si="829"/>
        <v>59057672.850000009</v>
      </c>
      <c r="U301" s="201">
        <f t="shared" si="829"/>
        <v>86677644.154108912</v>
      </c>
      <c r="V301" s="201">
        <f t="shared" si="829"/>
        <v>119821609.71903959</v>
      </c>
      <c r="W301" s="201">
        <f t="shared" si="829"/>
        <v>164013563.80561382</v>
      </c>
      <c r="X301" s="201">
        <f t="shared" si="829"/>
        <v>213729512.15300983</v>
      </c>
      <c r="Y301" s="201">
        <f t="shared" si="829"/>
        <v>268969454.76122761</v>
      </c>
      <c r="Z301" s="201">
        <f t="shared" si="829"/>
        <v>335257385.89108896</v>
      </c>
      <c r="AA301" s="201">
        <f t="shared" si="829"/>
        <v>390497328.49930674</v>
      </c>
      <c r="AB301" s="201">
        <f t="shared" si="829"/>
        <v>434689282.58588099</v>
      </c>
      <c r="AC301" s="201">
        <f t="shared" si="829"/>
        <v>467833248.15081167</v>
      </c>
      <c r="AD301" s="201">
        <f t="shared" si="829"/>
        <v>495453219.45492059</v>
      </c>
      <c r="AE301" s="201">
        <f t="shared" si="829"/>
        <v>523073190.75902951</v>
      </c>
      <c r="AF301" s="201">
        <f t="shared" si="829"/>
        <v>545169167.80231667</v>
      </c>
      <c r="AG301" s="201">
        <f t="shared" si="829"/>
        <v>567265144.84560382</v>
      </c>
      <c r="AH301" s="201">
        <f t="shared" si="829"/>
        <v>583837127.62806916</v>
      </c>
      <c r="AI301" s="201">
        <f t="shared" si="829"/>
        <v>600409110.4105345</v>
      </c>
      <c r="AJ301" s="201">
        <f t="shared" si="829"/>
        <v>611457098.93217802</v>
      </c>
      <c r="AK301" s="201">
        <f t="shared" si="829"/>
        <v>611457098.93217802</v>
      </c>
      <c r="AL301" s="201">
        <f t="shared" si="829"/>
        <v>611457098.93217802</v>
      </c>
      <c r="AM301" s="201">
        <f t="shared" si="829"/>
        <v>611457098.93217802</v>
      </c>
      <c r="AN301" s="201">
        <f t="shared" si="829"/>
        <v>611457098.93217802</v>
      </c>
      <c r="AO301" s="201">
        <f t="shared" si="829"/>
        <v>611457098.93217802</v>
      </c>
      <c r="AP301" s="201">
        <f t="shared" si="829"/>
        <v>611457098.93217802</v>
      </c>
      <c r="AQ301" s="201">
        <f t="shared" si="829"/>
        <v>611457098.93217802</v>
      </c>
      <c r="AR301" s="201">
        <f t="shared" si="829"/>
        <v>611457098.93217802</v>
      </c>
      <c r="AS301" s="201">
        <f t="shared" si="829"/>
        <v>611457098.93217802</v>
      </c>
      <c r="AT301" s="201">
        <f t="shared" si="829"/>
        <v>611457098.93217802</v>
      </c>
      <c r="AU301" s="201">
        <f t="shared" si="829"/>
        <v>611457098.93217802</v>
      </c>
      <c r="AV301" s="201">
        <f t="shared" si="829"/>
        <v>611457098.93217802</v>
      </c>
      <c r="AW301" s="201">
        <f t="shared" si="829"/>
        <v>611457098.93217802</v>
      </c>
      <c r="AX301" s="201">
        <f t="shared" si="829"/>
        <v>611457098.93217802</v>
      </c>
      <c r="AY301" s="201">
        <f t="shared" si="829"/>
        <v>611457098.93217802</v>
      </c>
      <c r="AZ301" s="201">
        <f t="shared" si="829"/>
        <v>611457098.93217802</v>
      </c>
      <c r="BA301" s="201">
        <f t="shared" si="829"/>
        <v>611457098.93217802</v>
      </c>
      <c r="BB301" s="201">
        <f t="shared" si="829"/>
        <v>611457098.93217802</v>
      </c>
      <c r="BC301" s="201">
        <f t="shared" si="829"/>
        <v>611457098.93217802</v>
      </c>
      <c r="BD301" s="201">
        <f t="shared" si="829"/>
        <v>611457098.93217802</v>
      </c>
      <c r="BE301" s="201">
        <f t="shared" si="829"/>
        <v>611457098.93217802</v>
      </c>
      <c r="BF301" s="201">
        <f t="shared" si="829"/>
        <v>611457098.93217802</v>
      </c>
      <c r="BG301" s="201">
        <f t="shared" si="829"/>
        <v>611457098.93217802</v>
      </c>
      <c r="BH301" s="201">
        <f t="shared" si="829"/>
        <v>611457098.93217802</v>
      </c>
      <c r="BI301" s="201">
        <f t="shared" si="829"/>
        <v>611457098.93217802</v>
      </c>
    </row>
    <row r="302" spans="1:63" s="144" customFormat="1" ht="18" customHeight="1" x14ac:dyDescent="0.25">
      <c r="A302" s="370"/>
      <c r="B302" s="371"/>
      <c r="C302" s="374" t="s">
        <v>170</v>
      </c>
      <c r="D302" s="375"/>
      <c r="E302" s="375"/>
      <c r="F302" s="375"/>
      <c r="G302" s="376"/>
      <c r="H302" s="377"/>
      <c r="I302" s="377"/>
      <c r="J302" s="378"/>
      <c r="K302" s="378"/>
      <c r="L302" s="202">
        <f>L300/$I$300</f>
        <v>0</v>
      </c>
      <c r="M302" s="202">
        <f>M300/$I$300</f>
        <v>0</v>
      </c>
      <c r="N302" s="202">
        <f t="shared" ref="N302:BI302" si="830">N300/$I$300</f>
        <v>0</v>
      </c>
      <c r="O302" s="202">
        <f t="shared" si="830"/>
        <v>0</v>
      </c>
      <c r="P302" s="202">
        <f t="shared" si="830"/>
        <v>0</v>
      </c>
      <c r="Q302" s="202">
        <f t="shared" si="830"/>
        <v>0</v>
      </c>
      <c r="R302" s="202">
        <f t="shared" si="830"/>
        <v>0</v>
      </c>
      <c r="S302" s="202">
        <f t="shared" si="830"/>
        <v>3.8634058188635481E-2</v>
      </c>
      <c r="T302" s="202">
        <f t="shared" si="830"/>
        <v>5.7951087282953215E-2</v>
      </c>
      <c r="U302" s="202">
        <f t="shared" si="830"/>
        <v>4.5170742726420569E-2</v>
      </c>
      <c r="V302" s="202">
        <f t="shared" si="830"/>
        <v>5.4204891271704671E-2</v>
      </c>
      <c r="W302" s="202">
        <f t="shared" si="830"/>
        <v>7.2273188362272908E-2</v>
      </c>
      <c r="X302" s="202">
        <f t="shared" si="830"/>
        <v>8.130733690755701E-2</v>
      </c>
      <c r="Y302" s="202">
        <f t="shared" si="830"/>
        <v>9.0341485452841139E-2</v>
      </c>
      <c r="Z302" s="202">
        <f t="shared" si="830"/>
        <v>0.10840978254340934</v>
      </c>
      <c r="AA302" s="202">
        <f t="shared" si="830"/>
        <v>9.0341485452841139E-2</v>
      </c>
      <c r="AB302" s="202">
        <f t="shared" si="830"/>
        <v>7.2273188362272908E-2</v>
      </c>
      <c r="AC302" s="202">
        <f t="shared" si="830"/>
        <v>5.4204891271704671E-2</v>
      </c>
      <c r="AD302" s="202">
        <f t="shared" si="830"/>
        <v>4.5170742726420569E-2</v>
      </c>
      <c r="AE302" s="202">
        <f t="shared" si="830"/>
        <v>4.5170742726420569E-2</v>
      </c>
      <c r="AF302" s="202">
        <f t="shared" si="830"/>
        <v>3.6136594181136454E-2</v>
      </c>
      <c r="AG302" s="202">
        <f t="shared" si="830"/>
        <v>3.6136594181136454E-2</v>
      </c>
      <c r="AH302" s="202">
        <f t="shared" si="830"/>
        <v>2.7102445635852335E-2</v>
      </c>
      <c r="AI302" s="202">
        <f t="shared" si="830"/>
        <v>2.7102445635852335E-2</v>
      </c>
      <c r="AJ302" s="202">
        <f t="shared" si="830"/>
        <v>1.8068297090568227E-2</v>
      </c>
      <c r="AK302" s="202">
        <f t="shared" si="830"/>
        <v>0</v>
      </c>
      <c r="AL302" s="202">
        <f t="shared" si="830"/>
        <v>0</v>
      </c>
      <c r="AM302" s="202">
        <f t="shared" si="830"/>
        <v>0</v>
      </c>
      <c r="AN302" s="202">
        <f t="shared" si="830"/>
        <v>0</v>
      </c>
      <c r="AO302" s="202">
        <f t="shared" si="830"/>
        <v>0</v>
      </c>
      <c r="AP302" s="202">
        <f t="shared" si="830"/>
        <v>0</v>
      </c>
      <c r="AQ302" s="202">
        <f t="shared" si="830"/>
        <v>0</v>
      </c>
      <c r="AR302" s="202">
        <f t="shared" si="830"/>
        <v>0</v>
      </c>
      <c r="AS302" s="202">
        <f t="shared" si="830"/>
        <v>0</v>
      </c>
      <c r="AT302" s="202">
        <f t="shared" si="830"/>
        <v>0</v>
      </c>
      <c r="AU302" s="202">
        <f t="shared" si="830"/>
        <v>0</v>
      </c>
      <c r="AV302" s="202">
        <f t="shared" si="830"/>
        <v>0</v>
      </c>
      <c r="AW302" s="202">
        <f t="shared" si="830"/>
        <v>0</v>
      </c>
      <c r="AX302" s="202">
        <f t="shared" si="830"/>
        <v>0</v>
      </c>
      <c r="AY302" s="202">
        <f t="shared" si="830"/>
        <v>0</v>
      </c>
      <c r="AZ302" s="202">
        <f t="shared" si="830"/>
        <v>0</v>
      </c>
      <c r="BA302" s="202">
        <f t="shared" si="830"/>
        <v>0</v>
      </c>
      <c r="BB302" s="202">
        <f t="shared" si="830"/>
        <v>0</v>
      </c>
      <c r="BC302" s="202">
        <f t="shared" si="830"/>
        <v>0</v>
      </c>
      <c r="BD302" s="202">
        <f t="shared" si="830"/>
        <v>0</v>
      </c>
      <c r="BE302" s="202">
        <f t="shared" si="830"/>
        <v>0</v>
      </c>
      <c r="BF302" s="202">
        <f t="shared" si="830"/>
        <v>0</v>
      </c>
      <c r="BG302" s="202">
        <f t="shared" si="830"/>
        <v>0</v>
      </c>
      <c r="BH302" s="202">
        <f t="shared" si="830"/>
        <v>0</v>
      </c>
      <c r="BI302" s="202">
        <f t="shared" si="830"/>
        <v>0</v>
      </c>
    </row>
    <row r="303" spans="1:63" s="144" customFormat="1" ht="18" customHeight="1" x14ac:dyDescent="0.25">
      <c r="A303" s="372"/>
      <c r="B303" s="373"/>
      <c r="C303" s="374" t="s">
        <v>171</v>
      </c>
      <c r="D303" s="375"/>
      <c r="E303" s="375"/>
      <c r="F303" s="375"/>
      <c r="G303" s="376"/>
      <c r="H303" s="377"/>
      <c r="I303" s="377"/>
      <c r="J303" s="378"/>
      <c r="K303" s="378"/>
      <c r="L303" s="202">
        <f>L302</f>
        <v>0</v>
      </c>
      <c r="M303" s="202">
        <f t="shared" ref="M303" si="831">M302+L303</f>
        <v>0</v>
      </c>
      <c r="N303" s="202">
        <f t="shared" ref="N303" si="832">N302+M303</f>
        <v>0</v>
      </c>
      <c r="O303" s="202">
        <f t="shared" ref="O303" si="833">O302+N303</f>
        <v>0</v>
      </c>
      <c r="P303" s="202">
        <f t="shared" ref="P303" si="834">P302+O303</f>
        <v>0</v>
      </c>
      <c r="Q303" s="202">
        <f t="shared" ref="Q303" si="835">Q302+P303</f>
        <v>0</v>
      </c>
      <c r="R303" s="202">
        <f t="shared" ref="R303" si="836">R302+Q303</f>
        <v>0</v>
      </c>
      <c r="S303" s="202">
        <f t="shared" ref="S303" si="837">S302+R303</f>
        <v>3.8634058188635481E-2</v>
      </c>
      <c r="T303" s="202">
        <f t="shared" ref="T303" si="838">T302+S303</f>
        <v>9.6585145471588696E-2</v>
      </c>
      <c r="U303" s="202">
        <f t="shared" ref="U303" si="839">U302+T303</f>
        <v>0.14175588819800927</v>
      </c>
      <c r="V303" s="202">
        <f t="shared" ref="V303" si="840">V302+U303</f>
        <v>0.19596077946971394</v>
      </c>
      <c r="W303" s="202">
        <f t="shared" ref="W303" si="841">W302+V303</f>
        <v>0.26823396783198683</v>
      </c>
      <c r="X303" s="202">
        <f t="shared" ref="X303" si="842">X302+W303</f>
        <v>0.34954130473954381</v>
      </c>
      <c r="Y303" s="202">
        <f t="shared" ref="Y303" si="843">Y302+X303</f>
        <v>0.43988279019238496</v>
      </c>
      <c r="Z303" s="202">
        <f t="shared" ref="Z303" si="844">Z302+Y303</f>
        <v>0.54829257273579435</v>
      </c>
      <c r="AA303" s="202">
        <f t="shared" ref="AA303" si="845">AA302+Z303</f>
        <v>0.6386340581886355</v>
      </c>
      <c r="AB303" s="202">
        <f t="shared" ref="AB303" si="846">AB302+AA303</f>
        <v>0.71090724655090842</v>
      </c>
      <c r="AC303" s="202">
        <f t="shared" ref="AC303" si="847">AC302+AB303</f>
        <v>0.76511213782261311</v>
      </c>
      <c r="AD303" s="202">
        <f t="shared" ref="AD303" si="848">AD302+AC303</f>
        <v>0.81028288054903364</v>
      </c>
      <c r="AE303" s="202">
        <f t="shared" ref="AE303" si="849">AE302+AD303</f>
        <v>0.85545362327545416</v>
      </c>
      <c r="AF303" s="202">
        <f t="shared" ref="AF303" si="850">AF302+AE303</f>
        <v>0.89159021745659062</v>
      </c>
      <c r="AG303" s="202">
        <f t="shared" ref="AG303" si="851">AG302+AF303</f>
        <v>0.92772681163772708</v>
      </c>
      <c r="AH303" s="202">
        <f t="shared" ref="AH303" si="852">AH302+AG303</f>
        <v>0.95482925727357937</v>
      </c>
      <c r="AI303" s="202">
        <f t="shared" ref="AI303" si="853">AI302+AH303</f>
        <v>0.98193170290943166</v>
      </c>
      <c r="AJ303" s="202">
        <f t="shared" ref="AJ303" si="854">AJ302+AI303</f>
        <v>0.99999999999999989</v>
      </c>
      <c r="AK303" s="202">
        <f t="shared" ref="AK303" si="855">AK302+AJ303</f>
        <v>0.99999999999999989</v>
      </c>
      <c r="AL303" s="202">
        <f t="shared" ref="AL303" si="856">AL302+AK303</f>
        <v>0.99999999999999989</v>
      </c>
      <c r="AM303" s="202">
        <f t="shared" ref="AM303" si="857">AM302+AL303</f>
        <v>0.99999999999999989</v>
      </c>
      <c r="AN303" s="202">
        <f t="shared" ref="AN303" si="858">AN302+AM303</f>
        <v>0.99999999999999989</v>
      </c>
      <c r="AO303" s="202">
        <f t="shared" ref="AO303" si="859">AO302+AN303</f>
        <v>0.99999999999999989</v>
      </c>
      <c r="AP303" s="202">
        <f t="shared" ref="AP303" si="860">AP302+AO303</f>
        <v>0.99999999999999989</v>
      </c>
      <c r="AQ303" s="202">
        <f t="shared" ref="AQ303" si="861">AQ302+AP303</f>
        <v>0.99999999999999989</v>
      </c>
      <c r="AR303" s="202">
        <f t="shared" ref="AR303" si="862">AR302+AQ303</f>
        <v>0.99999999999999989</v>
      </c>
      <c r="AS303" s="202">
        <f t="shared" ref="AS303" si="863">AS302+AR303</f>
        <v>0.99999999999999989</v>
      </c>
      <c r="AT303" s="202">
        <f t="shared" ref="AT303" si="864">AT302+AS303</f>
        <v>0.99999999999999989</v>
      </c>
      <c r="AU303" s="202">
        <f t="shared" ref="AU303" si="865">AU302+AT303</f>
        <v>0.99999999999999989</v>
      </c>
      <c r="AV303" s="202">
        <f t="shared" ref="AV303" si="866">AV302+AU303</f>
        <v>0.99999999999999989</v>
      </c>
      <c r="AW303" s="202">
        <f t="shared" ref="AW303" si="867">AW302+AV303</f>
        <v>0.99999999999999989</v>
      </c>
      <c r="AX303" s="202">
        <f t="shared" ref="AX303" si="868">AX302+AW303</f>
        <v>0.99999999999999989</v>
      </c>
      <c r="AY303" s="202">
        <f t="shared" ref="AY303" si="869">AY302+AX303</f>
        <v>0.99999999999999989</v>
      </c>
      <c r="AZ303" s="202">
        <f t="shared" ref="AZ303" si="870">AZ302+AY303</f>
        <v>0.99999999999999989</v>
      </c>
      <c r="BA303" s="202">
        <f t="shared" ref="BA303" si="871">BA302+AZ303</f>
        <v>0.99999999999999989</v>
      </c>
      <c r="BB303" s="202">
        <f t="shared" ref="BB303" si="872">BB302+BA303</f>
        <v>0.99999999999999989</v>
      </c>
      <c r="BC303" s="202">
        <f t="shared" ref="BC303" si="873">BC302+BB303</f>
        <v>0.99999999999999989</v>
      </c>
      <c r="BD303" s="202">
        <f t="shared" ref="BD303" si="874">BD302+BC303</f>
        <v>0.99999999999999989</v>
      </c>
      <c r="BE303" s="202">
        <f t="shared" ref="BE303" si="875">BE302+BD303</f>
        <v>0.99999999999999989</v>
      </c>
      <c r="BF303" s="202">
        <f t="shared" ref="BF303" si="876">BF302+BE303</f>
        <v>0.99999999999999989</v>
      </c>
      <c r="BG303" s="202">
        <f t="shared" ref="BG303" si="877">BG302+BF303</f>
        <v>0.99999999999999989</v>
      </c>
      <c r="BH303" s="202">
        <f t="shared" ref="BH303" si="878">BH302+BG303</f>
        <v>0.99999999999999989</v>
      </c>
      <c r="BI303" s="202">
        <f t="shared" ref="BI303" si="879">BI302+BH303</f>
        <v>0.99999999999999989</v>
      </c>
    </row>
    <row r="304" spans="1:63" s="140" customFormat="1" ht="10.199999999999999" x14ac:dyDescent="0.25">
      <c r="I304" s="145"/>
      <c r="J304" s="145"/>
      <c r="K304" s="145"/>
      <c r="L304" s="146"/>
      <c r="M304" s="146"/>
      <c r="N304" s="146"/>
      <c r="O304" s="146"/>
      <c r="P304" s="146"/>
      <c r="Q304" s="146"/>
      <c r="R304" s="146"/>
      <c r="S304" s="146"/>
      <c r="T304" s="139"/>
      <c r="U304" s="139"/>
      <c r="V304" s="139"/>
      <c r="W304" s="139"/>
      <c r="X304" s="139"/>
      <c r="Y304" s="139"/>
      <c r="Z304" s="139"/>
      <c r="AA304" s="139"/>
      <c r="AB304" s="139"/>
      <c r="AC304" s="139"/>
      <c r="AD304" s="139"/>
      <c r="AE304" s="139"/>
      <c r="AF304" s="139"/>
      <c r="AG304" s="139"/>
      <c r="AH304" s="139"/>
      <c r="AI304" s="139"/>
      <c r="AJ304" s="139"/>
      <c r="AK304" s="139"/>
      <c r="AL304" s="139"/>
      <c r="AM304" s="139"/>
      <c r="AN304" s="139"/>
      <c r="AO304" s="139"/>
      <c r="AP304" s="139"/>
      <c r="AQ304" s="139"/>
      <c r="AR304" s="139"/>
      <c r="AS304" s="139"/>
      <c r="AT304" s="139"/>
      <c r="AU304" s="139"/>
      <c r="AV304" s="139"/>
      <c r="AW304" s="139"/>
      <c r="AX304" s="139"/>
      <c r="AY304" s="139"/>
      <c r="AZ304" s="139"/>
      <c r="BA304" s="139"/>
      <c r="BB304" s="139"/>
      <c r="BC304" s="139"/>
      <c r="BD304" s="139"/>
      <c r="BE304" s="139"/>
      <c r="BF304" s="139"/>
      <c r="BG304" s="139"/>
      <c r="BH304" s="139"/>
      <c r="BI304" s="139"/>
    </row>
    <row r="305" spans="1:63" s="140" customFormat="1" ht="10.199999999999999" x14ac:dyDescent="0.25">
      <c r="I305" s="145"/>
      <c r="J305" s="145"/>
      <c r="K305" s="145"/>
      <c r="L305" s="146"/>
      <c r="M305" s="146"/>
      <c r="N305" s="146"/>
      <c r="O305" s="146"/>
      <c r="P305" s="146"/>
      <c r="Q305" s="146"/>
      <c r="R305" s="146"/>
      <c r="S305" s="146"/>
      <c r="T305" s="139"/>
      <c r="U305" s="139"/>
      <c r="V305" s="139"/>
      <c r="W305" s="139"/>
      <c r="X305" s="139"/>
      <c r="Y305" s="139"/>
      <c r="Z305" s="139"/>
      <c r="AA305" s="139"/>
      <c r="AB305" s="139"/>
      <c r="AC305" s="139"/>
      <c r="AD305" s="139"/>
      <c r="AE305" s="139"/>
      <c r="AF305" s="139"/>
      <c r="AG305" s="139"/>
      <c r="AH305" s="139"/>
      <c r="AI305" s="139"/>
      <c r="AJ305" s="139"/>
      <c r="AK305" s="139"/>
      <c r="AL305" s="139"/>
      <c r="AM305" s="139"/>
      <c r="AN305" s="139"/>
      <c r="AO305" s="139"/>
      <c r="AP305" s="139"/>
      <c r="AQ305" s="139"/>
      <c r="AR305" s="139"/>
      <c r="AS305" s="139"/>
      <c r="AT305" s="139"/>
      <c r="AU305" s="139"/>
      <c r="AV305" s="139"/>
      <c r="AW305" s="139"/>
      <c r="AX305" s="139"/>
      <c r="AY305" s="139"/>
      <c r="AZ305" s="139"/>
      <c r="BA305" s="139"/>
      <c r="BB305" s="139"/>
      <c r="BC305" s="139"/>
      <c r="BD305" s="139"/>
      <c r="BE305" s="139"/>
      <c r="BF305" s="139"/>
      <c r="BG305" s="139"/>
      <c r="BH305" s="139"/>
      <c r="BI305" s="139"/>
    </row>
    <row r="306" spans="1:63" s="47" customFormat="1" ht="21.75" customHeight="1" x14ac:dyDescent="0.25">
      <c r="A306" s="155" t="s">
        <v>111</v>
      </c>
      <c r="B306" s="203" t="str">
        <f>Empreendimentos!A156</f>
        <v>JARDIM 05</v>
      </c>
      <c r="C306" s="156"/>
      <c r="D306" s="156"/>
      <c r="E306" s="157"/>
      <c r="F306" s="216">
        <f>SUM(F307,F309)</f>
        <v>127332.13900000001</v>
      </c>
      <c r="G306" s="216">
        <f>G309</f>
        <v>76399.2834</v>
      </c>
      <c r="H306" s="213">
        <f>SUM(H307,H309)</f>
        <v>292863919.70000005</v>
      </c>
      <c r="I306" s="213">
        <f>SUM(I307,I309)</f>
        <v>593253364.8961072</v>
      </c>
      <c r="J306" s="198">
        <f>H306/$H$312</f>
        <v>1</v>
      </c>
      <c r="K306" s="198">
        <f>I306/$I$317</f>
        <v>1</v>
      </c>
      <c r="L306" s="158"/>
      <c r="M306" s="159"/>
      <c r="N306" s="159"/>
      <c r="O306" s="159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160"/>
      <c r="AA306" s="160"/>
      <c r="AB306" s="160"/>
      <c r="AC306" s="160"/>
      <c r="AD306" s="160"/>
      <c r="AE306" s="160"/>
      <c r="AF306" s="160"/>
      <c r="AG306" s="161"/>
      <c r="AH306" s="161"/>
      <c r="AI306" s="161"/>
      <c r="AJ306" s="161"/>
      <c r="AK306" s="161"/>
      <c r="AL306" s="161"/>
      <c r="AM306" s="161"/>
      <c r="AN306" s="161"/>
      <c r="AO306" s="161"/>
      <c r="AP306" s="161"/>
      <c r="AQ306" s="161"/>
      <c r="AR306" s="161"/>
      <c r="AS306" s="161"/>
      <c r="AT306" s="161"/>
      <c r="AU306" s="161"/>
      <c r="AV306" s="161"/>
      <c r="AW306" s="161"/>
      <c r="AX306" s="161"/>
      <c r="AY306" s="161"/>
      <c r="AZ306" s="161"/>
      <c r="BA306" s="161"/>
      <c r="BB306" s="161"/>
      <c r="BC306" s="161"/>
      <c r="BD306" s="161"/>
      <c r="BE306" s="161"/>
      <c r="BF306" s="161"/>
      <c r="BG306" s="161"/>
      <c r="BH306" s="161"/>
      <c r="BI306" s="162"/>
      <c r="BJ306" s="119">
        <f>SUM(L306:BI306)</f>
        <v>0</v>
      </c>
      <c r="BK306" s="33"/>
    </row>
    <row r="307" spans="1:63" ht="21.75" customHeight="1" x14ac:dyDescent="0.25">
      <c r="A307" s="193"/>
      <c r="B307" s="154" t="s">
        <v>228</v>
      </c>
      <c r="C307" s="197" t="str">
        <f>$C$344</f>
        <v>Lote Jardins</v>
      </c>
      <c r="D307" s="188"/>
      <c r="E307" s="189"/>
      <c r="F307" s="190">
        <f>Empreendimentos!H157</f>
        <v>127332.13900000001</v>
      </c>
      <c r="G307" s="190">
        <f>F307</f>
        <v>127332.13900000001</v>
      </c>
      <c r="H307" s="191">
        <f>F307*VLOOKUP(C307,$C$337:$E$351,2,FALSE)</f>
        <v>292863919.70000005</v>
      </c>
      <c r="I307" s="192">
        <f>G307*VLOOKUP(C307,$C$337:$E$351,3,FALSE)</f>
        <v>57299462.550000004</v>
      </c>
      <c r="J307" s="205">
        <f>H307/$H$312</f>
        <v>1</v>
      </c>
      <c r="K307" s="205">
        <f>I307/$I$317</f>
        <v>9.6585145471588696E-2</v>
      </c>
      <c r="L307" s="181"/>
      <c r="M307" s="182">
        <f>'Cronogramaa Fisico'!E52</f>
        <v>0</v>
      </c>
      <c r="N307" s="182">
        <f>'Cronogramaa Fisico'!F52</f>
        <v>0</v>
      </c>
      <c r="O307" s="182">
        <f>'Cronogramaa Fisico'!G52</f>
        <v>0</v>
      </c>
      <c r="P307" s="182">
        <f>'Cronogramaa Fisico'!H52</f>
        <v>0</v>
      </c>
      <c r="Q307" s="182">
        <f>'Cronogramaa Fisico'!I52</f>
        <v>0</v>
      </c>
      <c r="R307" s="182">
        <f>'Cronogramaa Fisico'!J52</f>
        <v>0</v>
      </c>
      <c r="S307" s="182">
        <f>'Cronogramaa Fisico'!K52</f>
        <v>0</v>
      </c>
      <c r="T307" s="182">
        <f>'Cronogramaa Fisico'!L52</f>
        <v>0</v>
      </c>
      <c r="U307" s="182">
        <f>'Cronogramaa Fisico'!M52</f>
        <v>0</v>
      </c>
      <c r="V307" s="182">
        <f>'Cronogramaa Fisico'!N52</f>
        <v>0</v>
      </c>
      <c r="W307" s="182">
        <f>'Cronogramaa Fisico'!O52</f>
        <v>0</v>
      </c>
      <c r="X307" s="182">
        <f>'Cronogramaa Fisico'!P52</f>
        <v>0</v>
      </c>
      <c r="Y307" s="182">
        <f>'Cronogramaa Fisico'!Q52</f>
        <v>0.4</v>
      </c>
      <c r="Z307" s="182">
        <f>'Cronogramaa Fisico'!R52</f>
        <v>0.6</v>
      </c>
      <c r="AA307" s="182">
        <f>'Cronogramaa Fisico'!S52</f>
        <v>0</v>
      </c>
      <c r="AB307" s="182">
        <f>'Cronogramaa Fisico'!T52</f>
        <v>0</v>
      </c>
      <c r="AC307" s="182">
        <f>'Cronogramaa Fisico'!U52</f>
        <v>0</v>
      </c>
      <c r="AD307" s="182">
        <f>'Cronogramaa Fisico'!V52</f>
        <v>0</v>
      </c>
      <c r="AE307" s="182">
        <f>'Cronogramaa Fisico'!W52</f>
        <v>0</v>
      </c>
      <c r="AF307" s="182">
        <f>'Cronogramaa Fisico'!X52</f>
        <v>0</v>
      </c>
      <c r="AG307" s="182">
        <f>'Cronogramaa Fisico'!Y52</f>
        <v>0</v>
      </c>
      <c r="AH307" s="182">
        <f>'Cronogramaa Fisico'!Z52</f>
        <v>0</v>
      </c>
      <c r="AI307" s="182">
        <f>'Cronogramaa Fisico'!AA52</f>
        <v>0</v>
      </c>
      <c r="AJ307" s="182">
        <f>'Cronogramaa Fisico'!AB52</f>
        <v>0</v>
      </c>
      <c r="AK307" s="182">
        <f>'Cronogramaa Fisico'!AC52</f>
        <v>0</v>
      </c>
      <c r="AL307" s="182">
        <f>'Cronogramaa Fisico'!AD52</f>
        <v>0</v>
      </c>
      <c r="AM307" s="182">
        <f>'Cronogramaa Fisico'!AE52</f>
        <v>0</v>
      </c>
      <c r="AN307" s="182">
        <f>'Cronogramaa Fisico'!AF52</f>
        <v>0</v>
      </c>
      <c r="AO307" s="182">
        <f>'Cronogramaa Fisico'!AG52</f>
        <v>0</v>
      </c>
      <c r="AP307" s="182">
        <f>'Cronogramaa Fisico'!AH52</f>
        <v>0</v>
      </c>
      <c r="AQ307" s="182">
        <f>'Cronogramaa Fisico'!AI52</f>
        <v>0</v>
      </c>
      <c r="AR307" s="182">
        <f>'Cronogramaa Fisico'!AJ52</f>
        <v>0</v>
      </c>
      <c r="AS307" s="182">
        <f>'Cronogramaa Fisico'!AK52</f>
        <v>0</v>
      </c>
      <c r="AT307" s="182">
        <f>'Cronogramaa Fisico'!AL52</f>
        <v>0</v>
      </c>
      <c r="AU307" s="182">
        <f>'Cronogramaa Fisico'!AM52</f>
        <v>0</v>
      </c>
      <c r="AV307" s="182">
        <f>'Cronogramaa Fisico'!AN52</f>
        <v>0</v>
      </c>
      <c r="AW307" s="182">
        <f>'Cronogramaa Fisico'!AO52</f>
        <v>0</v>
      </c>
      <c r="AX307" s="182">
        <f>'Cronogramaa Fisico'!AP52</f>
        <v>0</v>
      </c>
      <c r="AY307" s="182">
        <f>'Cronogramaa Fisico'!AQ52</f>
        <v>0</v>
      </c>
      <c r="AZ307" s="182">
        <f>'Cronogramaa Fisico'!AR52</f>
        <v>0</v>
      </c>
      <c r="BA307" s="182">
        <f>'Cronogramaa Fisico'!AS52</f>
        <v>0</v>
      </c>
      <c r="BB307" s="182">
        <f>'Cronogramaa Fisico'!AT52</f>
        <v>0</v>
      </c>
      <c r="BC307" s="182">
        <f>'Cronogramaa Fisico'!AU52</f>
        <v>0</v>
      </c>
      <c r="BD307" s="182">
        <f>'Cronogramaa Fisico'!AV52</f>
        <v>0</v>
      </c>
      <c r="BE307" s="182">
        <f>'Cronogramaa Fisico'!AW52</f>
        <v>0</v>
      </c>
      <c r="BF307" s="182">
        <f>'Cronogramaa Fisico'!AX52</f>
        <v>0</v>
      </c>
      <c r="BG307" s="182">
        <f>'Cronogramaa Fisico'!AY57</f>
        <v>0</v>
      </c>
      <c r="BH307" s="182">
        <f>'Cronogramaa Fisico'!AZ57</f>
        <v>0</v>
      </c>
      <c r="BI307" s="185"/>
      <c r="BJ307" s="119"/>
      <c r="BK307" s="11"/>
    </row>
    <row r="308" spans="1:63" ht="9.6" customHeight="1" x14ac:dyDescent="0.25">
      <c r="A308" s="120"/>
      <c r="B308" s="219"/>
      <c r="C308" s="174"/>
      <c r="D308" s="148"/>
      <c r="E308" s="173"/>
      <c r="F308" s="149"/>
      <c r="G308" s="149"/>
      <c r="H308" s="179"/>
      <c r="I308" s="180"/>
      <c r="J308" s="204"/>
      <c r="K308" s="204"/>
      <c r="L308" s="123"/>
      <c r="M308" s="124"/>
      <c r="N308" s="124"/>
      <c r="O308" s="128"/>
      <c r="P308" s="128"/>
      <c r="Q308" s="128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  <c r="AD308" s="125"/>
      <c r="AE308" s="125"/>
      <c r="AF308" s="125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126"/>
      <c r="AS308" s="126"/>
      <c r="AT308" s="126"/>
      <c r="AU308" s="126"/>
      <c r="AV308" s="126"/>
      <c r="AW308" s="126"/>
      <c r="AX308" s="126"/>
      <c r="AY308" s="126"/>
      <c r="AZ308" s="126"/>
      <c r="BA308" s="126"/>
      <c r="BB308" s="126"/>
      <c r="BC308" s="126"/>
      <c r="BD308" s="126"/>
      <c r="BE308" s="126"/>
      <c r="BF308" s="126"/>
      <c r="BG308" s="126"/>
      <c r="BH308" s="126"/>
      <c r="BI308" s="127"/>
      <c r="BJ308" s="119"/>
    </row>
    <row r="309" spans="1:63" ht="21.75" customHeight="1" x14ac:dyDescent="0.25">
      <c r="A309" s="193"/>
      <c r="B309" s="154" t="s">
        <v>229</v>
      </c>
      <c r="C309" s="197" t="str">
        <f>$C$345</f>
        <v>Residências</v>
      </c>
      <c r="D309" s="188">
        <f>Empreendimentos!J283</f>
        <v>0</v>
      </c>
      <c r="E309" s="189">
        <f>Empreendimentos!K283</f>
        <v>0</v>
      </c>
      <c r="F309" s="190"/>
      <c r="G309" s="190">
        <f>G307*0.6</f>
        <v>76399.2834</v>
      </c>
      <c r="H309" s="191">
        <f>F309*VLOOKUP(C309,$C$337:$E$351,2,FALSE)</f>
        <v>0</v>
      </c>
      <c r="I309" s="192">
        <f>G309*VLOOKUP(C309,$C$337:$E$351,3,FALSE)</f>
        <v>535953902.34610718</v>
      </c>
      <c r="J309" s="205">
        <f>H309/$H$312</f>
        <v>0</v>
      </c>
      <c r="K309" s="205">
        <f>I309/$I$317</f>
        <v>0.9034148545284113</v>
      </c>
      <c r="L309" s="181"/>
      <c r="M309" s="182"/>
      <c r="N309" s="182"/>
      <c r="O309" s="182"/>
      <c r="P309" s="183"/>
      <c r="Q309" s="182"/>
      <c r="R309" s="182"/>
      <c r="S309" s="182"/>
      <c r="T309" s="182"/>
      <c r="U309" s="182"/>
      <c r="V309" s="182"/>
      <c r="W309" s="182"/>
      <c r="X309" s="182"/>
      <c r="Y309" s="182"/>
      <c r="Z309" s="182"/>
      <c r="AA309" s="124">
        <v>0.05</v>
      </c>
      <c r="AB309" s="128">
        <v>0.06</v>
      </c>
      <c r="AC309" s="128">
        <v>0.08</v>
      </c>
      <c r="AD309" s="128">
        <v>0.09</v>
      </c>
      <c r="AE309" s="129">
        <v>0.1</v>
      </c>
      <c r="AF309" s="129">
        <v>0.12</v>
      </c>
      <c r="AG309" s="129">
        <v>0.1</v>
      </c>
      <c r="AH309" s="129">
        <v>0.08</v>
      </c>
      <c r="AI309" s="129">
        <v>0.06</v>
      </c>
      <c r="AJ309" s="129">
        <v>0.05</v>
      </c>
      <c r="AK309" s="129">
        <v>0.05</v>
      </c>
      <c r="AL309" s="129">
        <v>0.04</v>
      </c>
      <c r="AM309" s="129">
        <v>0.04</v>
      </c>
      <c r="AN309" s="129">
        <v>0.03</v>
      </c>
      <c r="AO309" s="129">
        <v>0.03</v>
      </c>
      <c r="AP309" s="129">
        <v>0.02</v>
      </c>
      <c r="AQ309" s="184"/>
      <c r="AR309" s="184"/>
      <c r="AS309" s="184"/>
      <c r="AT309" s="184"/>
      <c r="AU309" s="184"/>
      <c r="AV309" s="184"/>
      <c r="AW309" s="184"/>
      <c r="AX309" s="184"/>
      <c r="AY309" s="184"/>
      <c r="AZ309" s="184"/>
      <c r="BA309" s="184"/>
      <c r="BB309" s="184"/>
      <c r="BC309" s="184"/>
      <c r="BD309" s="184"/>
      <c r="BE309" s="184"/>
      <c r="BF309" s="184"/>
      <c r="BG309" s="184"/>
      <c r="BH309" s="184"/>
      <c r="BI309" s="185"/>
      <c r="BJ309" s="119"/>
      <c r="BK309" s="11"/>
    </row>
    <row r="310" spans="1:63" s="13" customFormat="1" ht="9.6" customHeight="1" x14ac:dyDescent="0.25">
      <c r="A310" s="130"/>
      <c r="B310" s="131"/>
      <c r="C310" s="131"/>
      <c r="D310" s="131"/>
      <c r="E310" s="131"/>
      <c r="F310" s="131"/>
      <c r="G310" s="131"/>
      <c r="H310" s="131"/>
      <c r="I310" s="132"/>
      <c r="J310" s="207">
        <f>H310/$H$42</f>
        <v>0</v>
      </c>
      <c r="K310" s="207">
        <f>I310/$H$42</f>
        <v>0</v>
      </c>
      <c r="L310" s="133"/>
      <c r="M310" s="134"/>
      <c r="N310" s="134"/>
      <c r="O310" s="134"/>
      <c r="P310" s="135"/>
      <c r="Q310" s="135"/>
      <c r="R310" s="135"/>
      <c r="S310" s="135"/>
      <c r="T310" s="136"/>
      <c r="U310" s="136"/>
      <c r="V310" s="136"/>
      <c r="W310" s="136"/>
      <c r="X310" s="136"/>
      <c r="Y310" s="136"/>
      <c r="Z310" s="136"/>
      <c r="AA310" s="136"/>
      <c r="AB310" s="136"/>
      <c r="AC310" s="136"/>
      <c r="AD310" s="136"/>
      <c r="AE310" s="136"/>
      <c r="AF310" s="136"/>
      <c r="AG310" s="137"/>
      <c r="AH310" s="137"/>
      <c r="AI310" s="137"/>
      <c r="AJ310" s="137"/>
      <c r="AK310" s="137"/>
      <c r="AL310" s="137"/>
      <c r="AM310" s="137"/>
      <c r="AN310" s="137"/>
      <c r="AO310" s="137"/>
      <c r="AP310" s="137"/>
      <c r="AQ310" s="137"/>
      <c r="AR310" s="137"/>
      <c r="AS310" s="137"/>
      <c r="AT310" s="137"/>
      <c r="AU310" s="137"/>
      <c r="AV310" s="137"/>
      <c r="AW310" s="137"/>
      <c r="AX310" s="137"/>
      <c r="AY310" s="137"/>
      <c r="AZ310" s="137"/>
      <c r="BA310" s="137"/>
      <c r="BB310" s="137"/>
      <c r="BC310" s="137"/>
      <c r="BD310" s="137"/>
      <c r="BE310" s="137"/>
      <c r="BF310" s="137"/>
      <c r="BG310" s="137"/>
      <c r="BH310" s="137"/>
      <c r="BI310" s="138"/>
      <c r="BJ310" s="119">
        <f>SUM(K310:AI310)</f>
        <v>0</v>
      </c>
    </row>
    <row r="311" spans="1:63" s="13" customFormat="1" ht="7.8" customHeight="1" x14ac:dyDescent="0.25">
      <c r="A311" s="139"/>
      <c r="B311" s="140"/>
      <c r="C311" s="140"/>
      <c r="D311" s="140"/>
      <c r="E311" s="140"/>
      <c r="F311" s="140"/>
      <c r="G311" s="140"/>
      <c r="H311" s="140"/>
      <c r="I311" s="141"/>
      <c r="J311" s="140"/>
      <c r="K311" s="140"/>
      <c r="L311" s="139"/>
      <c r="M311" s="139"/>
      <c r="N311" s="139"/>
      <c r="O311" s="139"/>
      <c r="P311" s="139"/>
      <c r="Q311" s="139"/>
      <c r="R311" s="139"/>
      <c r="S311" s="139"/>
      <c r="T311" s="142"/>
      <c r="U311" s="142"/>
      <c r="V311" s="142"/>
      <c r="W311" s="142"/>
      <c r="X311" s="142"/>
      <c r="Y311" s="142"/>
      <c r="Z311" s="142"/>
      <c r="AA311" s="142"/>
      <c r="AB311" s="142"/>
      <c r="AC311" s="142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  <c r="AO311" s="142"/>
      <c r="AP311" s="142"/>
      <c r="AQ311" s="142"/>
      <c r="AR311" s="142"/>
      <c r="AS311" s="142"/>
      <c r="AT311" s="142"/>
      <c r="AU311" s="142"/>
      <c r="AV311" s="142"/>
      <c r="AW311" s="142"/>
      <c r="AX311" s="142"/>
      <c r="AY311" s="142"/>
      <c r="AZ311" s="142"/>
      <c r="BA311" s="142"/>
      <c r="BB311" s="142"/>
      <c r="BC311" s="142"/>
      <c r="BD311" s="142"/>
      <c r="BE311" s="142"/>
      <c r="BF311" s="142"/>
      <c r="BG311" s="142"/>
      <c r="BH311" s="142"/>
      <c r="BI311" s="142"/>
      <c r="BJ311" s="143"/>
    </row>
    <row r="312" spans="1:63" s="144" customFormat="1" ht="18" customHeight="1" x14ac:dyDescent="0.25">
      <c r="A312" s="379" t="s">
        <v>223</v>
      </c>
      <c r="B312" s="380"/>
      <c r="C312" s="385" t="s">
        <v>168</v>
      </c>
      <c r="D312" s="386"/>
      <c r="E312" s="386"/>
      <c r="F312" s="386"/>
      <c r="G312" s="387"/>
      <c r="H312" s="388">
        <f>H306</f>
        <v>292863919.70000005</v>
      </c>
      <c r="I312" s="388"/>
      <c r="J312" s="389">
        <f>J306</f>
        <v>1</v>
      </c>
      <c r="K312" s="389"/>
      <c r="L312" s="163">
        <f>SUMPRODUCT($H307:$H310,L307:L310)</f>
        <v>0</v>
      </c>
      <c r="M312" s="163">
        <f>SUMPRODUCT($H307:$H310,M307:M310)</f>
        <v>0</v>
      </c>
      <c r="N312" s="163">
        <f t="shared" ref="N312:BI312" si="880">SUMPRODUCT($H307:$H310,N307:N310)</f>
        <v>0</v>
      </c>
      <c r="O312" s="163">
        <f t="shared" si="880"/>
        <v>0</v>
      </c>
      <c r="P312" s="163">
        <f t="shared" si="880"/>
        <v>0</v>
      </c>
      <c r="Q312" s="163">
        <f t="shared" si="880"/>
        <v>0</v>
      </c>
      <c r="R312" s="163">
        <f t="shared" si="880"/>
        <v>0</v>
      </c>
      <c r="S312" s="163">
        <f t="shared" si="880"/>
        <v>0</v>
      </c>
      <c r="T312" s="163">
        <f t="shared" si="880"/>
        <v>0</v>
      </c>
      <c r="U312" s="163">
        <f t="shared" si="880"/>
        <v>0</v>
      </c>
      <c r="V312" s="163">
        <f t="shared" si="880"/>
        <v>0</v>
      </c>
      <c r="W312" s="163">
        <f t="shared" si="880"/>
        <v>0</v>
      </c>
      <c r="X312" s="163">
        <f t="shared" si="880"/>
        <v>0</v>
      </c>
      <c r="Y312" s="163">
        <f t="shared" si="880"/>
        <v>117145567.88000003</v>
      </c>
      <c r="Z312" s="163">
        <f t="shared" si="880"/>
        <v>175718351.82000002</v>
      </c>
      <c r="AA312" s="163">
        <f t="shared" si="880"/>
        <v>0</v>
      </c>
      <c r="AB312" s="163">
        <f t="shared" si="880"/>
        <v>0</v>
      </c>
      <c r="AC312" s="163">
        <f t="shared" si="880"/>
        <v>0</v>
      </c>
      <c r="AD312" s="163">
        <f t="shared" si="880"/>
        <v>0</v>
      </c>
      <c r="AE312" s="163">
        <f t="shared" si="880"/>
        <v>0</v>
      </c>
      <c r="AF312" s="163">
        <f t="shared" si="880"/>
        <v>0</v>
      </c>
      <c r="AG312" s="163">
        <f t="shared" si="880"/>
        <v>0</v>
      </c>
      <c r="AH312" s="163">
        <f t="shared" si="880"/>
        <v>0</v>
      </c>
      <c r="AI312" s="163">
        <f t="shared" si="880"/>
        <v>0</v>
      </c>
      <c r="AJ312" s="163">
        <f t="shared" si="880"/>
        <v>0</v>
      </c>
      <c r="AK312" s="163">
        <f t="shared" si="880"/>
        <v>0</v>
      </c>
      <c r="AL312" s="163">
        <f t="shared" si="880"/>
        <v>0</v>
      </c>
      <c r="AM312" s="163">
        <f t="shared" si="880"/>
        <v>0</v>
      </c>
      <c r="AN312" s="163">
        <f t="shared" si="880"/>
        <v>0</v>
      </c>
      <c r="AO312" s="163">
        <f t="shared" si="880"/>
        <v>0</v>
      </c>
      <c r="AP312" s="163">
        <f t="shared" si="880"/>
        <v>0</v>
      </c>
      <c r="AQ312" s="163">
        <f t="shared" si="880"/>
        <v>0</v>
      </c>
      <c r="AR312" s="163">
        <f t="shared" si="880"/>
        <v>0</v>
      </c>
      <c r="AS312" s="163">
        <f t="shared" si="880"/>
        <v>0</v>
      </c>
      <c r="AT312" s="163">
        <f t="shared" si="880"/>
        <v>0</v>
      </c>
      <c r="AU312" s="163">
        <f t="shared" si="880"/>
        <v>0</v>
      </c>
      <c r="AV312" s="163">
        <f t="shared" si="880"/>
        <v>0</v>
      </c>
      <c r="AW312" s="163">
        <f t="shared" si="880"/>
        <v>0</v>
      </c>
      <c r="AX312" s="163">
        <f t="shared" si="880"/>
        <v>0</v>
      </c>
      <c r="AY312" s="163">
        <f t="shared" si="880"/>
        <v>0</v>
      </c>
      <c r="AZ312" s="163">
        <f t="shared" si="880"/>
        <v>0</v>
      </c>
      <c r="BA312" s="163">
        <f t="shared" si="880"/>
        <v>0</v>
      </c>
      <c r="BB312" s="163">
        <f t="shared" si="880"/>
        <v>0</v>
      </c>
      <c r="BC312" s="163">
        <f t="shared" si="880"/>
        <v>0</v>
      </c>
      <c r="BD312" s="163">
        <f t="shared" si="880"/>
        <v>0</v>
      </c>
      <c r="BE312" s="163">
        <f t="shared" si="880"/>
        <v>0</v>
      </c>
      <c r="BF312" s="163">
        <f t="shared" si="880"/>
        <v>0</v>
      </c>
      <c r="BG312" s="163">
        <f t="shared" si="880"/>
        <v>0</v>
      </c>
      <c r="BH312" s="163">
        <f t="shared" si="880"/>
        <v>0</v>
      </c>
      <c r="BI312" s="163">
        <f t="shared" si="880"/>
        <v>0</v>
      </c>
    </row>
    <row r="313" spans="1:63" s="144" customFormat="1" ht="18" customHeight="1" x14ac:dyDescent="0.25">
      <c r="A313" s="381"/>
      <c r="B313" s="382"/>
      <c r="C313" s="385" t="s">
        <v>169</v>
      </c>
      <c r="D313" s="386"/>
      <c r="E313" s="386"/>
      <c r="F313" s="386"/>
      <c r="G313" s="387"/>
      <c r="H313" s="388"/>
      <c r="I313" s="388"/>
      <c r="J313" s="389"/>
      <c r="K313" s="389"/>
      <c r="L313" s="164">
        <f>L312</f>
        <v>0</v>
      </c>
      <c r="M313" s="164">
        <f>M312+L313</f>
        <v>0</v>
      </c>
      <c r="N313" s="164">
        <f t="shared" ref="N313:BI313" si="881">N312+M313</f>
        <v>0</v>
      </c>
      <c r="O313" s="164">
        <f t="shared" si="881"/>
        <v>0</v>
      </c>
      <c r="P313" s="164">
        <f t="shared" si="881"/>
        <v>0</v>
      </c>
      <c r="Q313" s="164">
        <f t="shared" si="881"/>
        <v>0</v>
      </c>
      <c r="R313" s="164">
        <f t="shared" si="881"/>
        <v>0</v>
      </c>
      <c r="S313" s="164">
        <f t="shared" si="881"/>
        <v>0</v>
      </c>
      <c r="T313" s="164">
        <f t="shared" si="881"/>
        <v>0</v>
      </c>
      <c r="U313" s="164">
        <f t="shared" si="881"/>
        <v>0</v>
      </c>
      <c r="V313" s="164">
        <f t="shared" si="881"/>
        <v>0</v>
      </c>
      <c r="W313" s="164">
        <f t="shared" si="881"/>
        <v>0</v>
      </c>
      <c r="X313" s="164">
        <f t="shared" si="881"/>
        <v>0</v>
      </c>
      <c r="Y313" s="164">
        <f t="shared" si="881"/>
        <v>117145567.88000003</v>
      </c>
      <c r="Z313" s="164">
        <f t="shared" si="881"/>
        <v>292863919.70000005</v>
      </c>
      <c r="AA313" s="164">
        <f t="shared" si="881"/>
        <v>292863919.70000005</v>
      </c>
      <c r="AB313" s="164">
        <f t="shared" si="881"/>
        <v>292863919.70000005</v>
      </c>
      <c r="AC313" s="164">
        <f t="shared" si="881"/>
        <v>292863919.70000005</v>
      </c>
      <c r="AD313" s="164">
        <f t="shared" si="881"/>
        <v>292863919.70000005</v>
      </c>
      <c r="AE313" s="164">
        <f t="shared" si="881"/>
        <v>292863919.70000005</v>
      </c>
      <c r="AF313" s="164">
        <f t="shared" si="881"/>
        <v>292863919.70000005</v>
      </c>
      <c r="AG313" s="164">
        <f t="shared" si="881"/>
        <v>292863919.70000005</v>
      </c>
      <c r="AH313" s="164">
        <f t="shared" si="881"/>
        <v>292863919.70000005</v>
      </c>
      <c r="AI313" s="164">
        <f t="shared" si="881"/>
        <v>292863919.70000005</v>
      </c>
      <c r="AJ313" s="164">
        <f t="shared" si="881"/>
        <v>292863919.70000005</v>
      </c>
      <c r="AK313" s="164">
        <f t="shared" si="881"/>
        <v>292863919.70000005</v>
      </c>
      <c r="AL313" s="164">
        <f t="shared" si="881"/>
        <v>292863919.70000005</v>
      </c>
      <c r="AM313" s="164">
        <f t="shared" si="881"/>
        <v>292863919.70000005</v>
      </c>
      <c r="AN313" s="164">
        <f t="shared" si="881"/>
        <v>292863919.70000005</v>
      </c>
      <c r="AO313" s="164">
        <f t="shared" si="881"/>
        <v>292863919.70000005</v>
      </c>
      <c r="AP313" s="164">
        <f t="shared" si="881"/>
        <v>292863919.70000005</v>
      </c>
      <c r="AQ313" s="164">
        <f t="shared" si="881"/>
        <v>292863919.70000005</v>
      </c>
      <c r="AR313" s="164">
        <f t="shared" si="881"/>
        <v>292863919.70000005</v>
      </c>
      <c r="AS313" s="164">
        <f t="shared" si="881"/>
        <v>292863919.70000005</v>
      </c>
      <c r="AT313" s="164">
        <f t="shared" si="881"/>
        <v>292863919.70000005</v>
      </c>
      <c r="AU313" s="164">
        <f t="shared" si="881"/>
        <v>292863919.70000005</v>
      </c>
      <c r="AV313" s="164">
        <f t="shared" si="881"/>
        <v>292863919.70000005</v>
      </c>
      <c r="AW313" s="164">
        <f t="shared" si="881"/>
        <v>292863919.70000005</v>
      </c>
      <c r="AX313" s="164">
        <f t="shared" si="881"/>
        <v>292863919.70000005</v>
      </c>
      <c r="AY313" s="164">
        <f t="shared" si="881"/>
        <v>292863919.70000005</v>
      </c>
      <c r="AZ313" s="164">
        <f t="shared" si="881"/>
        <v>292863919.70000005</v>
      </c>
      <c r="BA313" s="164">
        <f t="shared" si="881"/>
        <v>292863919.70000005</v>
      </c>
      <c r="BB313" s="164">
        <f t="shared" si="881"/>
        <v>292863919.70000005</v>
      </c>
      <c r="BC313" s="164">
        <f t="shared" si="881"/>
        <v>292863919.70000005</v>
      </c>
      <c r="BD313" s="164">
        <f t="shared" si="881"/>
        <v>292863919.70000005</v>
      </c>
      <c r="BE313" s="164">
        <f t="shared" si="881"/>
        <v>292863919.70000005</v>
      </c>
      <c r="BF313" s="164">
        <f t="shared" si="881"/>
        <v>292863919.70000005</v>
      </c>
      <c r="BG313" s="164">
        <f t="shared" si="881"/>
        <v>292863919.70000005</v>
      </c>
      <c r="BH313" s="164">
        <f t="shared" si="881"/>
        <v>292863919.70000005</v>
      </c>
      <c r="BI313" s="164">
        <f t="shared" si="881"/>
        <v>292863919.70000005</v>
      </c>
    </row>
    <row r="314" spans="1:63" s="144" customFormat="1" ht="18" customHeight="1" x14ac:dyDescent="0.25">
      <c r="A314" s="381"/>
      <c r="B314" s="382"/>
      <c r="C314" s="385" t="s">
        <v>170</v>
      </c>
      <c r="D314" s="386"/>
      <c r="E314" s="386"/>
      <c r="F314" s="386"/>
      <c r="G314" s="387"/>
      <c r="H314" s="388"/>
      <c r="I314" s="388"/>
      <c r="J314" s="389"/>
      <c r="K314" s="389"/>
      <c r="L314" s="165">
        <f>L312/$H$312</f>
        <v>0</v>
      </c>
      <c r="M314" s="165">
        <f>M312/$H$312</f>
        <v>0</v>
      </c>
      <c r="N314" s="165">
        <f t="shared" ref="N314:BI314" si="882">N312/$H$312</f>
        <v>0</v>
      </c>
      <c r="O314" s="165">
        <f t="shared" si="882"/>
        <v>0</v>
      </c>
      <c r="P314" s="165">
        <f t="shared" si="882"/>
        <v>0</v>
      </c>
      <c r="Q314" s="165">
        <f t="shared" si="882"/>
        <v>0</v>
      </c>
      <c r="R314" s="165">
        <f t="shared" si="882"/>
        <v>0</v>
      </c>
      <c r="S314" s="165">
        <f t="shared" si="882"/>
        <v>0</v>
      </c>
      <c r="T314" s="165">
        <f t="shared" si="882"/>
        <v>0</v>
      </c>
      <c r="U314" s="165">
        <f t="shared" si="882"/>
        <v>0</v>
      </c>
      <c r="V314" s="165">
        <f t="shared" si="882"/>
        <v>0</v>
      </c>
      <c r="W314" s="165">
        <f t="shared" si="882"/>
        <v>0</v>
      </c>
      <c r="X314" s="165">
        <f t="shared" si="882"/>
        <v>0</v>
      </c>
      <c r="Y314" s="165">
        <f t="shared" si="882"/>
        <v>0.4</v>
      </c>
      <c r="Z314" s="165">
        <f t="shared" si="882"/>
        <v>0.6</v>
      </c>
      <c r="AA314" s="165">
        <f t="shared" si="882"/>
        <v>0</v>
      </c>
      <c r="AB314" s="165">
        <f t="shared" si="882"/>
        <v>0</v>
      </c>
      <c r="AC314" s="165">
        <f t="shared" si="882"/>
        <v>0</v>
      </c>
      <c r="AD314" s="165">
        <f t="shared" si="882"/>
        <v>0</v>
      </c>
      <c r="AE314" s="165">
        <f t="shared" si="882"/>
        <v>0</v>
      </c>
      <c r="AF314" s="165">
        <f t="shared" si="882"/>
        <v>0</v>
      </c>
      <c r="AG314" s="165">
        <f t="shared" si="882"/>
        <v>0</v>
      </c>
      <c r="AH314" s="165">
        <f t="shared" si="882"/>
        <v>0</v>
      </c>
      <c r="AI314" s="165">
        <f t="shared" si="882"/>
        <v>0</v>
      </c>
      <c r="AJ314" s="165">
        <f t="shared" si="882"/>
        <v>0</v>
      </c>
      <c r="AK314" s="165">
        <f t="shared" si="882"/>
        <v>0</v>
      </c>
      <c r="AL314" s="165">
        <f t="shared" si="882"/>
        <v>0</v>
      </c>
      <c r="AM314" s="165">
        <f t="shared" si="882"/>
        <v>0</v>
      </c>
      <c r="AN314" s="165">
        <f t="shared" si="882"/>
        <v>0</v>
      </c>
      <c r="AO314" s="165">
        <f t="shared" si="882"/>
        <v>0</v>
      </c>
      <c r="AP314" s="165">
        <f t="shared" si="882"/>
        <v>0</v>
      </c>
      <c r="AQ314" s="165">
        <f t="shared" si="882"/>
        <v>0</v>
      </c>
      <c r="AR314" s="165">
        <f t="shared" si="882"/>
        <v>0</v>
      </c>
      <c r="AS314" s="165">
        <f t="shared" si="882"/>
        <v>0</v>
      </c>
      <c r="AT314" s="165">
        <f t="shared" si="882"/>
        <v>0</v>
      </c>
      <c r="AU314" s="165">
        <f t="shared" si="882"/>
        <v>0</v>
      </c>
      <c r="AV314" s="165">
        <f t="shared" si="882"/>
        <v>0</v>
      </c>
      <c r="AW314" s="165">
        <f t="shared" si="882"/>
        <v>0</v>
      </c>
      <c r="AX314" s="165">
        <f t="shared" si="882"/>
        <v>0</v>
      </c>
      <c r="AY314" s="165">
        <f t="shared" si="882"/>
        <v>0</v>
      </c>
      <c r="AZ314" s="165">
        <f t="shared" si="882"/>
        <v>0</v>
      </c>
      <c r="BA314" s="165">
        <f t="shared" si="882"/>
        <v>0</v>
      </c>
      <c r="BB314" s="165">
        <f t="shared" si="882"/>
        <v>0</v>
      </c>
      <c r="BC314" s="165">
        <f t="shared" si="882"/>
        <v>0</v>
      </c>
      <c r="BD314" s="165">
        <f t="shared" si="882"/>
        <v>0</v>
      </c>
      <c r="BE314" s="165">
        <f t="shared" si="882"/>
        <v>0</v>
      </c>
      <c r="BF314" s="165">
        <f t="shared" si="882"/>
        <v>0</v>
      </c>
      <c r="BG314" s="165">
        <f t="shared" si="882"/>
        <v>0</v>
      </c>
      <c r="BH314" s="165">
        <f t="shared" si="882"/>
        <v>0</v>
      </c>
      <c r="BI314" s="165">
        <f t="shared" si="882"/>
        <v>0</v>
      </c>
    </row>
    <row r="315" spans="1:63" s="144" customFormat="1" ht="18" customHeight="1" x14ac:dyDescent="0.25">
      <c r="A315" s="383"/>
      <c r="B315" s="384"/>
      <c r="C315" s="385" t="s">
        <v>171</v>
      </c>
      <c r="D315" s="386"/>
      <c r="E315" s="386"/>
      <c r="F315" s="386"/>
      <c r="G315" s="387"/>
      <c r="H315" s="388"/>
      <c r="I315" s="388"/>
      <c r="J315" s="389"/>
      <c r="K315" s="389"/>
      <c r="L315" s="165">
        <f>L314</f>
        <v>0</v>
      </c>
      <c r="M315" s="165">
        <f>M314+L315</f>
        <v>0</v>
      </c>
      <c r="N315" s="165">
        <f t="shared" ref="N315:BI315" si="883">N314+M315</f>
        <v>0</v>
      </c>
      <c r="O315" s="165">
        <f t="shared" si="883"/>
        <v>0</v>
      </c>
      <c r="P315" s="165">
        <f t="shared" si="883"/>
        <v>0</v>
      </c>
      <c r="Q315" s="165">
        <f t="shared" si="883"/>
        <v>0</v>
      </c>
      <c r="R315" s="165">
        <f t="shared" si="883"/>
        <v>0</v>
      </c>
      <c r="S315" s="165">
        <f t="shared" si="883"/>
        <v>0</v>
      </c>
      <c r="T315" s="165">
        <f t="shared" si="883"/>
        <v>0</v>
      </c>
      <c r="U315" s="165">
        <f t="shared" si="883"/>
        <v>0</v>
      </c>
      <c r="V315" s="165">
        <f t="shared" si="883"/>
        <v>0</v>
      </c>
      <c r="W315" s="165">
        <f t="shared" si="883"/>
        <v>0</v>
      </c>
      <c r="X315" s="165">
        <f t="shared" si="883"/>
        <v>0</v>
      </c>
      <c r="Y315" s="165">
        <f t="shared" si="883"/>
        <v>0.4</v>
      </c>
      <c r="Z315" s="165">
        <f t="shared" si="883"/>
        <v>1</v>
      </c>
      <c r="AA315" s="165">
        <f t="shared" si="883"/>
        <v>1</v>
      </c>
      <c r="AB315" s="165">
        <f t="shared" si="883"/>
        <v>1</v>
      </c>
      <c r="AC315" s="165">
        <f t="shared" si="883"/>
        <v>1</v>
      </c>
      <c r="AD315" s="165">
        <f t="shared" si="883"/>
        <v>1</v>
      </c>
      <c r="AE315" s="165">
        <f t="shared" si="883"/>
        <v>1</v>
      </c>
      <c r="AF315" s="165">
        <f t="shared" si="883"/>
        <v>1</v>
      </c>
      <c r="AG315" s="165">
        <f t="shared" si="883"/>
        <v>1</v>
      </c>
      <c r="AH315" s="165">
        <f t="shared" si="883"/>
        <v>1</v>
      </c>
      <c r="AI315" s="165">
        <f t="shared" si="883"/>
        <v>1</v>
      </c>
      <c r="AJ315" s="165">
        <f t="shared" si="883"/>
        <v>1</v>
      </c>
      <c r="AK315" s="165">
        <f t="shared" si="883"/>
        <v>1</v>
      </c>
      <c r="AL315" s="165">
        <f t="shared" si="883"/>
        <v>1</v>
      </c>
      <c r="AM315" s="165">
        <f t="shared" si="883"/>
        <v>1</v>
      </c>
      <c r="AN315" s="165">
        <f t="shared" si="883"/>
        <v>1</v>
      </c>
      <c r="AO315" s="165">
        <f t="shared" si="883"/>
        <v>1</v>
      </c>
      <c r="AP315" s="165">
        <f t="shared" si="883"/>
        <v>1</v>
      </c>
      <c r="AQ315" s="165">
        <f t="shared" si="883"/>
        <v>1</v>
      </c>
      <c r="AR315" s="165">
        <f t="shared" si="883"/>
        <v>1</v>
      </c>
      <c r="AS315" s="165">
        <f t="shared" si="883"/>
        <v>1</v>
      </c>
      <c r="AT315" s="165">
        <f t="shared" si="883"/>
        <v>1</v>
      </c>
      <c r="AU315" s="165">
        <f t="shared" si="883"/>
        <v>1</v>
      </c>
      <c r="AV315" s="165">
        <f t="shared" si="883"/>
        <v>1</v>
      </c>
      <c r="AW315" s="165">
        <f t="shared" si="883"/>
        <v>1</v>
      </c>
      <c r="AX315" s="165">
        <f t="shared" si="883"/>
        <v>1</v>
      </c>
      <c r="AY315" s="165">
        <f t="shared" si="883"/>
        <v>1</v>
      </c>
      <c r="AZ315" s="165">
        <f t="shared" si="883"/>
        <v>1</v>
      </c>
      <c r="BA315" s="165">
        <f t="shared" si="883"/>
        <v>1</v>
      </c>
      <c r="BB315" s="165">
        <f t="shared" si="883"/>
        <v>1</v>
      </c>
      <c r="BC315" s="165">
        <f t="shared" si="883"/>
        <v>1</v>
      </c>
      <c r="BD315" s="165">
        <f t="shared" si="883"/>
        <v>1</v>
      </c>
      <c r="BE315" s="165">
        <f t="shared" si="883"/>
        <v>1</v>
      </c>
      <c r="BF315" s="165">
        <f t="shared" si="883"/>
        <v>1</v>
      </c>
      <c r="BG315" s="165">
        <f t="shared" si="883"/>
        <v>1</v>
      </c>
      <c r="BH315" s="165">
        <f t="shared" si="883"/>
        <v>1</v>
      </c>
      <c r="BI315" s="165">
        <f t="shared" si="883"/>
        <v>1</v>
      </c>
    </row>
    <row r="316" spans="1:63" s="140" customFormat="1" ht="10.199999999999999" x14ac:dyDescent="0.25">
      <c r="I316" s="145"/>
      <c r="J316" s="145"/>
      <c r="K316" s="145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  <c r="AC316" s="146"/>
      <c r="AD316" s="146"/>
      <c r="AE316" s="146"/>
      <c r="AF316" s="146"/>
      <c r="AG316" s="146"/>
      <c r="AH316" s="146"/>
      <c r="AI316" s="146"/>
      <c r="AJ316" s="146"/>
      <c r="AK316" s="146"/>
      <c r="AL316" s="146"/>
      <c r="AM316" s="146"/>
      <c r="AN316" s="146"/>
      <c r="AO316" s="146"/>
      <c r="AP316" s="146"/>
      <c r="AQ316" s="146"/>
      <c r="AR316" s="146"/>
      <c r="AS316" s="146"/>
      <c r="AT316" s="146"/>
      <c r="AU316" s="146"/>
      <c r="AV316" s="146"/>
      <c r="AW316" s="146"/>
      <c r="AX316" s="146"/>
      <c r="AY316" s="146"/>
      <c r="AZ316" s="146"/>
      <c r="BA316" s="146"/>
      <c r="BB316" s="146"/>
      <c r="BC316" s="146"/>
      <c r="BD316" s="146"/>
      <c r="BE316" s="146"/>
      <c r="BF316" s="146"/>
      <c r="BG316" s="146"/>
      <c r="BH316" s="146"/>
      <c r="BI316" s="146"/>
    </row>
    <row r="317" spans="1:63" s="144" customFormat="1" ht="18" customHeight="1" x14ac:dyDescent="0.25">
      <c r="A317" s="368" t="s">
        <v>224</v>
      </c>
      <c r="B317" s="369"/>
      <c r="C317" s="374" t="s">
        <v>168</v>
      </c>
      <c r="D317" s="375"/>
      <c r="E317" s="375"/>
      <c r="F317" s="375"/>
      <c r="G317" s="376"/>
      <c r="H317" s="377"/>
      <c r="I317" s="377">
        <f>I306</f>
        <v>593253364.8961072</v>
      </c>
      <c r="J317" s="378"/>
      <c r="K317" s="378">
        <f>K306</f>
        <v>1</v>
      </c>
      <c r="L317" s="200">
        <f>SUMPRODUCT($I307:$I310,L307:L310)</f>
        <v>0</v>
      </c>
      <c r="M317" s="200">
        <f>SUMPRODUCT($I307:$I310,M307:M310)</f>
        <v>0</v>
      </c>
      <c r="N317" s="200">
        <f t="shared" ref="N317:BI317" si="884">SUMPRODUCT($I307:$I310,N307:N310)</f>
        <v>0</v>
      </c>
      <c r="O317" s="200">
        <f t="shared" si="884"/>
        <v>0</v>
      </c>
      <c r="P317" s="200">
        <f t="shared" si="884"/>
        <v>0</v>
      </c>
      <c r="Q317" s="200">
        <f t="shared" si="884"/>
        <v>0</v>
      </c>
      <c r="R317" s="200">
        <f t="shared" si="884"/>
        <v>0</v>
      </c>
      <c r="S317" s="200">
        <f t="shared" si="884"/>
        <v>0</v>
      </c>
      <c r="T317" s="200">
        <f t="shared" si="884"/>
        <v>0</v>
      </c>
      <c r="U317" s="200">
        <f t="shared" si="884"/>
        <v>0</v>
      </c>
      <c r="V317" s="200">
        <f t="shared" si="884"/>
        <v>0</v>
      </c>
      <c r="W317" s="200">
        <f t="shared" si="884"/>
        <v>0</v>
      </c>
      <c r="X317" s="200">
        <f t="shared" si="884"/>
        <v>0</v>
      </c>
      <c r="Y317" s="200">
        <f t="shared" si="884"/>
        <v>22919785.020000003</v>
      </c>
      <c r="Z317" s="200">
        <f t="shared" si="884"/>
        <v>34379677.530000001</v>
      </c>
      <c r="AA317" s="200">
        <f t="shared" si="884"/>
        <v>26797695.117305361</v>
      </c>
      <c r="AB317" s="200">
        <f t="shared" si="884"/>
        <v>32157234.140766431</v>
      </c>
      <c r="AC317" s="200">
        <f t="shared" si="884"/>
        <v>42876312.187688574</v>
      </c>
      <c r="AD317" s="200">
        <f t="shared" si="884"/>
        <v>48235851.211149648</v>
      </c>
      <c r="AE317" s="200">
        <f t="shared" si="884"/>
        <v>53595390.234610721</v>
      </c>
      <c r="AF317" s="200">
        <f t="shared" si="884"/>
        <v>64314468.281532861</v>
      </c>
      <c r="AG317" s="200">
        <f t="shared" si="884"/>
        <v>53595390.234610721</v>
      </c>
      <c r="AH317" s="200">
        <f t="shared" si="884"/>
        <v>42876312.187688574</v>
      </c>
      <c r="AI317" s="200">
        <f t="shared" si="884"/>
        <v>32157234.140766431</v>
      </c>
      <c r="AJ317" s="200">
        <f t="shared" si="884"/>
        <v>26797695.117305361</v>
      </c>
      <c r="AK317" s="200">
        <f t="shared" si="884"/>
        <v>26797695.117305361</v>
      </c>
      <c r="AL317" s="200">
        <f t="shared" si="884"/>
        <v>21438156.093844287</v>
      </c>
      <c r="AM317" s="200">
        <f t="shared" si="884"/>
        <v>21438156.093844287</v>
      </c>
      <c r="AN317" s="200">
        <f t="shared" si="884"/>
        <v>16078617.070383215</v>
      </c>
      <c r="AO317" s="200">
        <f t="shared" si="884"/>
        <v>16078617.070383215</v>
      </c>
      <c r="AP317" s="200">
        <f t="shared" si="884"/>
        <v>10719078.046922144</v>
      </c>
      <c r="AQ317" s="200">
        <f t="shared" si="884"/>
        <v>0</v>
      </c>
      <c r="AR317" s="200">
        <f t="shared" si="884"/>
        <v>0</v>
      </c>
      <c r="AS317" s="200">
        <f t="shared" si="884"/>
        <v>0</v>
      </c>
      <c r="AT317" s="200">
        <f t="shared" si="884"/>
        <v>0</v>
      </c>
      <c r="AU317" s="200">
        <f t="shared" si="884"/>
        <v>0</v>
      </c>
      <c r="AV317" s="200">
        <f t="shared" si="884"/>
        <v>0</v>
      </c>
      <c r="AW317" s="200">
        <f t="shared" si="884"/>
        <v>0</v>
      </c>
      <c r="AX317" s="200">
        <f t="shared" si="884"/>
        <v>0</v>
      </c>
      <c r="AY317" s="200">
        <f t="shared" si="884"/>
        <v>0</v>
      </c>
      <c r="AZ317" s="200">
        <f t="shared" si="884"/>
        <v>0</v>
      </c>
      <c r="BA317" s="200">
        <f t="shared" si="884"/>
        <v>0</v>
      </c>
      <c r="BB317" s="200">
        <f t="shared" si="884"/>
        <v>0</v>
      </c>
      <c r="BC317" s="200">
        <f t="shared" si="884"/>
        <v>0</v>
      </c>
      <c r="BD317" s="200">
        <f t="shared" si="884"/>
        <v>0</v>
      </c>
      <c r="BE317" s="200">
        <f t="shared" si="884"/>
        <v>0</v>
      </c>
      <c r="BF317" s="200">
        <f t="shared" si="884"/>
        <v>0</v>
      </c>
      <c r="BG317" s="200">
        <f t="shared" si="884"/>
        <v>0</v>
      </c>
      <c r="BH317" s="200">
        <f t="shared" si="884"/>
        <v>0</v>
      </c>
      <c r="BI317" s="200">
        <f t="shared" si="884"/>
        <v>0</v>
      </c>
    </row>
    <row r="318" spans="1:63" s="144" customFormat="1" ht="18" customHeight="1" x14ac:dyDescent="0.25">
      <c r="A318" s="370"/>
      <c r="B318" s="371"/>
      <c r="C318" s="374" t="s">
        <v>169</v>
      </c>
      <c r="D318" s="375"/>
      <c r="E318" s="375"/>
      <c r="F318" s="375"/>
      <c r="G318" s="376"/>
      <c r="H318" s="377"/>
      <c r="I318" s="377"/>
      <c r="J318" s="378"/>
      <c r="K318" s="378"/>
      <c r="L318" s="201">
        <f>L317</f>
        <v>0</v>
      </c>
      <c r="M318" s="201">
        <f>M317+L318</f>
        <v>0</v>
      </c>
      <c r="N318" s="201">
        <f t="shared" ref="N318:BI318" si="885">N317+M318</f>
        <v>0</v>
      </c>
      <c r="O318" s="201">
        <f t="shared" si="885"/>
        <v>0</v>
      </c>
      <c r="P318" s="201">
        <f t="shared" si="885"/>
        <v>0</v>
      </c>
      <c r="Q318" s="201">
        <f t="shared" si="885"/>
        <v>0</v>
      </c>
      <c r="R318" s="201">
        <f t="shared" si="885"/>
        <v>0</v>
      </c>
      <c r="S318" s="201">
        <f t="shared" si="885"/>
        <v>0</v>
      </c>
      <c r="T318" s="201">
        <f t="shared" si="885"/>
        <v>0</v>
      </c>
      <c r="U318" s="201">
        <f t="shared" si="885"/>
        <v>0</v>
      </c>
      <c r="V318" s="201">
        <f t="shared" si="885"/>
        <v>0</v>
      </c>
      <c r="W318" s="201">
        <f t="shared" si="885"/>
        <v>0</v>
      </c>
      <c r="X318" s="201">
        <f t="shared" si="885"/>
        <v>0</v>
      </c>
      <c r="Y318" s="201">
        <f t="shared" si="885"/>
        <v>22919785.020000003</v>
      </c>
      <c r="Z318" s="201">
        <f t="shared" si="885"/>
        <v>57299462.550000004</v>
      </c>
      <c r="AA318" s="201">
        <f t="shared" si="885"/>
        <v>84097157.667305365</v>
      </c>
      <c r="AB318" s="201">
        <f t="shared" si="885"/>
        <v>116254391.80807179</v>
      </c>
      <c r="AC318" s="201">
        <f t="shared" si="885"/>
        <v>159130703.99576038</v>
      </c>
      <c r="AD318" s="201">
        <f t="shared" si="885"/>
        <v>207366555.20691001</v>
      </c>
      <c r="AE318" s="201">
        <f t="shared" si="885"/>
        <v>260961945.44152075</v>
      </c>
      <c r="AF318" s="201">
        <f t="shared" si="885"/>
        <v>325276413.72305363</v>
      </c>
      <c r="AG318" s="201">
        <f t="shared" si="885"/>
        <v>378871803.95766437</v>
      </c>
      <c r="AH318" s="201">
        <f t="shared" si="885"/>
        <v>421748116.14535296</v>
      </c>
      <c r="AI318" s="201">
        <f t="shared" si="885"/>
        <v>453905350.2861194</v>
      </c>
      <c r="AJ318" s="201">
        <f t="shared" si="885"/>
        <v>480703045.40342474</v>
      </c>
      <c r="AK318" s="201">
        <f t="shared" si="885"/>
        <v>507500740.52073008</v>
      </c>
      <c r="AL318" s="201">
        <f t="shared" si="885"/>
        <v>528938896.61457437</v>
      </c>
      <c r="AM318" s="201">
        <f t="shared" si="885"/>
        <v>550377052.70841861</v>
      </c>
      <c r="AN318" s="201">
        <f t="shared" si="885"/>
        <v>566455669.7788018</v>
      </c>
      <c r="AO318" s="201">
        <f t="shared" si="885"/>
        <v>582534286.84918499</v>
      </c>
      <c r="AP318" s="201">
        <f t="shared" si="885"/>
        <v>593253364.89610708</v>
      </c>
      <c r="AQ318" s="201">
        <f t="shared" si="885"/>
        <v>593253364.89610708</v>
      </c>
      <c r="AR318" s="201">
        <f t="shared" si="885"/>
        <v>593253364.89610708</v>
      </c>
      <c r="AS318" s="201">
        <f t="shared" si="885"/>
        <v>593253364.89610708</v>
      </c>
      <c r="AT318" s="201">
        <f t="shared" si="885"/>
        <v>593253364.89610708</v>
      </c>
      <c r="AU318" s="201">
        <f t="shared" si="885"/>
        <v>593253364.89610708</v>
      </c>
      <c r="AV318" s="201">
        <f t="shared" si="885"/>
        <v>593253364.89610708</v>
      </c>
      <c r="AW318" s="201">
        <f t="shared" si="885"/>
        <v>593253364.89610708</v>
      </c>
      <c r="AX318" s="201">
        <f t="shared" si="885"/>
        <v>593253364.89610708</v>
      </c>
      <c r="AY318" s="201">
        <f t="shared" si="885"/>
        <v>593253364.89610708</v>
      </c>
      <c r="AZ318" s="201">
        <f t="shared" si="885"/>
        <v>593253364.89610708</v>
      </c>
      <c r="BA318" s="201">
        <f t="shared" si="885"/>
        <v>593253364.89610708</v>
      </c>
      <c r="BB318" s="201">
        <f t="shared" si="885"/>
        <v>593253364.89610708</v>
      </c>
      <c r="BC318" s="201">
        <f t="shared" si="885"/>
        <v>593253364.89610708</v>
      </c>
      <c r="BD318" s="201">
        <f t="shared" si="885"/>
        <v>593253364.89610708</v>
      </c>
      <c r="BE318" s="201">
        <f t="shared" si="885"/>
        <v>593253364.89610708</v>
      </c>
      <c r="BF318" s="201">
        <f t="shared" si="885"/>
        <v>593253364.89610708</v>
      </c>
      <c r="BG318" s="201">
        <f t="shared" si="885"/>
        <v>593253364.89610708</v>
      </c>
      <c r="BH318" s="201">
        <f t="shared" si="885"/>
        <v>593253364.89610708</v>
      </c>
      <c r="BI318" s="201">
        <f t="shared" si="885"/>
        <v>593253364.89610708</v>
      </c>
    </row>
    <row r="319" spans="1:63" s="144" customFormat="1" ht="18" customHeight="1" x14ac:dyDescent="0.25">
      <c r="A319" s="370"/>
      <c r="B319" s="371"/>
      <c r="C319" s="374" t="s">
        <v>170</v>
      </c>
      <c r="D319" s="375"/>
      <c r="E319" s="375"/>
      <c r="F319" s="375"/>
      <c r="G319" s="376"/>
      <c r="H319" s="377"/>
      <c r="I319" s="377"/>
      <c r="J319" s="378"/>
      <c r="K319" s="378"/>
      <c r="L319" s="202">
        <f>L317/$I$317</f>
        <v>0</v>
      </c>
      <c r="M319" s="202">
        <f>M317/$I$317</f>
        <v>0</v>
      </c>
      <c r="N319" s="202">
        <f t="shared" ref="N319:BI319" si="886">N317/$I$317</f>
        <v>0</v>
      </c>
      <c r="O319" s="202">
        <f t="shared" si="886"/>
        <v>0</v>
      </c>
      <c r="P319" s="202">
        <f t="shared" si="886"/>
        <v>0</v>
      </c>
      <c r="Q319" s="202">
        <f t="shared" si="886"/>
        <v>0</v>
      </c>
      <c r="R319" s="202">
        <f t="shared" si="886"/>
        <v>0</v>
      </c>
      <c r="S319" s="202">
        <f t="shared" si="886"/>
        <v>0</v>
      </c>
      <c r="T319" s="202">
        <f t="shared" si="886"/>
        <v>0</v>
      </c>
      <c r="U319" s="202">
        <f t="shared" si="886"/>
        <v>0</v>
      </c>
      <c r="V319" s="202">
        <f t="shared" si="886"/>
        <v>0</v>
      </c>
      <c r="W319" s="202">
        <f t="shared" si="886"/>
        <v>0</v>
      </c>
      <c r="X319" s="202">
        <f t="shared" si="886"/>
        <v>0</v>
      </c>
      <c r="Y319" s="202">
        <f t="shared" si="886"/>
        <v>3.8634058188635481E-2</v>
      </c>
      <c r="Z319" s="202">
        <f t="shared" si="886"/>
        <v>5.7951087282953215E-2</v>
      </c>
      <c r="AA319" s="202">
        <f t="shared" si="886"/>
        <v>4.5170742726420569E-2</v>
      </c>
      <c r="AB319" s="202">
        <f t="shared" si="886"/>
        <v>5.4204891271704678E-2</v>
      </c>
      <c r="AC319" s="202">
        <f t="shared" si="886"/>
        <v>7.2273188362272908E-2</v>
      </c>
      <c r="AD319" s="202">
        <f t="shared" si="886"/>
        <v>8.1307336907557023E-2</v>
      </c>
      <c r="AE319" s="202">
        <f t="shared" si="886"/>
        <v>9.0341485452841139E-2</v>
      </c>
      <c r="AF319" s="202">
        <f t="shared" si="886"/>
        <v>0.10840978254340936</v>
      </c>
      <c r="AG319" s="202">
        <f t="shared" si="886"/>
        <v>9.0341485452841139E-2</v>
      </c>
      <c r="AH319" s="202">
        <f t="shared" si="886"/>
        <v>7.2273188362272908E-2</v>
      </c>
      <c r="AI319" s="202">
        <f t="shared" si="886"/>
        <v>5.4204891271704678E-2</v>
      </c>
      <c r="AJ319" s="202">
        <f t="shared" si="886"/>
        <v>4.5170742726420569E-2</v>
      </c>
      <c r="AK319" s="202">
        <f t="shared" si="886"/>
        <v>4.5170742726420569E-2</v>
      </c>
      <c r="AL319" s="202">
        <f t="shared" si="886"/>
        <v>3.6136594181136454E-2</v>
      </c>
      <c r="AM319" s="202">
        <f t="shared" si="886"/>
        <v>3.6136594181136454E-2</v>
      </c>
      <c r="AN319" s="202">
        <f t="shared" si="886"/>
        <v>2.7102445635852339E-2</v>
      </c>
      <c r="AO319" s="202">
        <f t="shared" si="886"/>
        <v>2.7102445635852339E-2</v>
      </c>
      <c r="AP319" s="202">
        <f t="shared" si="886"/>
        <v>1.8068297090568227E-2</v>
      </c>
      <c r="AQ319" s="202">
        <f t="shared" si="886"/>
        <v>0</v>
      </c>
      <c r="AR319" s="202">
        <f t="shared" si="886"/>
        <v>0</v>
      </c>
      <c r="AS319" s="202">
        <f t="shared" si="886"/>
        <v>0</v>
      </c>
      <c r="AT319" s="202">
        <f t="shared" si="886"/>
        <v>0</v>
      </c>
      <c r="AU319" s="202">
        <f t="shared" si="886"/>
        <v>0</v>
      </c>
      <c r="AV319" s="202">
        <f t="shared" si="886"/>
        <v>0</v>
      </c>
      <c r="AW319" s="202">
        <f t="shared" si="886"/>
        <v>0</v>
      </c>
      <c r="AX319" s="202">
        <f t="shared" si="886"/>
        <v>0</v>
      </c>
      <c r="AY319" s="202">
        <f t="shared" si="886"/>
        <v>0</v>
      </c>
      <c r="AZ319" s="202">
        <f t="shared" si="886"/>
        <v>0</v>
      </c>
      <c r="BA319" s="202">
        <f t="shared" si="886"/>
        <v>0</v>
      </c>
      <c r="BB319" s="202">
        <f t="shared" si="886"/>
        <v>0</v>
      </c>
      <c r="BC319" s="202">
        <f t="shared" si="886"/>
        <v>0</v>
      </c>
      <c r="BD319" s="202">
        <f t="shared" si="886"/>
        <v>0</v>
      </c>
      <c r="BE319" s="202">
        <f t="shared" si="886"/>
        <v>0</v>
      </c>
      <c r="BF319" s="202">
        <f t="shared" si="886"/>
        <v>0</v>
      </c>
      <c r="BG319" s="202">
        <f t="shared" si="886"/>
        <v>0</v>
      </c>
      <c r="BH319" s="202">
        <f t="shared" si="886"/>
        <v>0</v>
      </c>
      <c r="BI319" s="202">
        <f t="shared" si="886"/>
        <v>0</v>
      </c>
    </row>
    <row r="320" spans="1:63" s="144" customFormat="1" ht="18" customHeight="1" x14ac:dyDescent="0.25">
      <c r="A320" s="372"/>
      <c r="B320" s="373"/>
      <c r="C320" s="374" t="s">
        <v>171</v>
      </c>
      <c r="D320" s="375"/>
      <c r="E320" s="375"/>
      <c r="F320" s="375"/>
      <c r="G320" s="376"/>
      <c r="H320" s="377"/>
      <c r="I320" s="377"/>
      <c r="J320" s="378"/>
      <c r="K320" s="378"/>
      <c r="L320" s="202">
        <f>L319</f>
        <v>0</v>
      </c>
      <c r="M320" s="202">
        <f t="shared" ref="M320" si="887">M319+L320</f>
        <v>0</v>
      </c>
      <c r="N320" s="202">
        <f t="shared" ref="N320" si="888">N319+M320</f>
        <v>0</v>
      </c>
      <c r="O320" s="202">
        <f t="shared" ref="O320" si="889">O319+N320</f>
        <v>0</v>
      </c>
      <c r="P320" s="202">
        <f t="shared" ref="P320" si="890">P319+O320</f>
        <v>0</v>
      </c>
      <c r="Q320" s="202">
        <f t="shared" ref="Q320" si="891">Q319+P320</f>
        <v>0</v>
      </c>
      <c r="R320" s="202">
        <f t="shared" ref="R320" si="892">R319+Q320</f>
        <v>0</v>
      </c>
      <c r="S320" s="202">
        <f t="shared" ref="S320" si="893">S319+R320</f>
        <v>0</v>
      </c>
      <c r="T320" s="202">
        <f t="shared" ref="T320" si="894">T319+S320</f>
        <v>0</v>
      </c>
      <c r="U320" s="202">
        <f t="shared" ref="U320" si="895">U319+T320</f>
        <v>0</v>
      </c>
      <c r="V320" s="202">
        <f t="shared" ref="V320" si="896">V319+U320</f>
        <v>0</v>
      </c>
      <c r="W320" s="202">
        <f t="shared" ref="W320" si="897">W319+V320</f>
        <v>0</v>
      </c>
      <c r="X320" s="202">
        <f t="shared" ref="X320" si="898">X319+W320</f>
        <v>0</v>
      </c>
      <c r="Y320" s="202">
        <f t="shared" ref="Y320" si="899">Y319+X320</f>
        <v>3.8634058188635481E-2</v>
      </c>
      <c r="Z320" s="202">
        <f t="shared" ref="Z320" si="900">Z319+Y320</f>
        <v>9.6585145471588696E-2</v>
      </c>
      <c r="AA320" s="202">
        <f t="shared" ref="AA320" si="901">AA319+Z320</f>
        <v>0.14175588819800927</v>
      </c>
      <c r="AB320" s="202">
        <f t="shared" ref="AB320" si="902">AB319+AA320</f>
        <v>0.19596077946971396</v>
      </c>
      <c r="AC320" s="202">
        <f t="shared" ref="AC320" si="903">AC319+AB320</f>
        <v>0.26823396783198689</v>
      </c>
      <c r="AD320" s="202">
        <f t="shared" ref="AD320" si="904">AD319+AC320</f>
        <v>0.34954130473954392</v>
      </c>
      <c r="AE320" s="202">
        <f t="shared" ref="AE320" si="905">AE319+AD320</f>
        <v>0.43988279019238508</v>
      </c>
      <c r="AF320" s="202">
        <f t="shared" ref="AF320" si="906">AF319+AE320</f>
        <v>0.54829257273579446</v>
      </c>
      <c r="AG320" s="202">
        <f t="shared" ref="AG320" si="907">AG319+AF320</f>
        <v>0.63863405818863561</v>
      </c>
      <c r="AH320" s="202">
        <f t="shared" ref="AH320" si="908">AH319+AG320</f>
        <v>0.71090724655090853</v>
      </c>
      <c r="AI320" s="202">
        <f t="shared" ref="AI320" si="909">AI319+AH320</f>
        <v>0.76511213782261323</v>
      </c>
      <c r="AJ320" s="202">
        <f t="shared" ref="AJ320" si="910">AJ319+AI320</f>
        <v>0.81028288054903375</v>
      </c>
      <c r="AK320" s="202">
        <f t="shared" ref="AK320" si="911">AK319+AJ320</f>
        <v>0.85545362327545427</v>
      </c>
      <c r="AL320" s="202">
        <f t="shared" ref="AL320" si="912">AL319+AK320</f>
        <v>0.89159021745659073</v>
      </c>
      <c r="AM320" s="202">
        <f t="shared" ref="AM320" si="913">AM319+AL320</f>
        <v>0.92772681163772719</v>
      </c>
      <c r="AN320" s="202">
        <f t="shared" ref="AN320" si="914">AN319+AM320</f>
        <v>0.95482925727357948</v>
      </c>
      <c r="AO320" s="202">
        <f t="shared" ref="AO320" si="915">AO319+AN320</f>
        <v>0.98193170290943177</v>
      </c>
      <c r="AP320" s="202">
        <f t="shared" ref="AP320" si="916">AP319+AO320</f>
        <v>1</v>
      </c>
      <c r="AQ320" s="202">
        <f t="shared" ref="AQ320" si="917">AQ319+AP320</f>
        <v>1</v>
      </c>
      <c r="AR320" s="202">
        <f t="shared" ref="AR320" si="918">AR319+AQ320</f>
        <v>1</v>
      </c>
      <c r="AS320" s="202">
        <f t="shared" ref="AS320" si="919">AS319+AR320</f>
        <v>1</v>
      </c>
      <c r="AT320" s="202">
        <f t="shared" ref="AT320" si="920">AT319+AS320</f>
        <v>1</v>
      </c>
      <c r="AU320" s="202">
        <f t="shared" ref="AU320" si="921">AU319+AT320</f>
        <v>1</v>
      </c>
      <c r="AV320" s="202">
        <f t="shared" ref="AV320" si="922">AV319+AU320</f>
        <v>1</v>
      </c>
      <c r="AW320" s="202">
        <f t="shared" ref="AW320" si="923">AW319+AV320</f>
        <v>1</v>
      </c>
      <c r="AX320" s="202">
        <f t="shared" ref="AX320" si="924">AX319+AW320</f>
        <v>1</v>
      </c>
      <c r="AY320" s="202">
        <f t="shared" ref="AY320" si="925">AY319+AX320</f>
        <v>1</v>
      </c>
      <c r="AZ320" s="202">
        <f t="shared" ref="AZ320" si="926">AZ319+AY320</f>
        <v>1</v>
      </c>
      <c r="BA320" s="202">
        <f t="shared" ref="BA320" si="927">BA319+AZ320</f>
        <v>1</v>
      </c>
      <c r="BB320" s="202">
        <f t="shared" ref="BB320" si="928">BB319+BA320</f>
        <v>1</v>
      </c>
      <c r="BC320" s="202">
        <f t="shared" ref="BC320" si="929">BC319+BB320</f>
        <v>1</v>
      </c>
      <c r="BD320" s="202">
        <f t="shared" ref="BD320" si="930">BD319+BC320</f>
        <v>1</v>
      </c>
      <c r="BE320" s="202">
        <f t="shared" ref="BE320" si="931">BE319+BD320</f>
        <v>1</v>
      </c>
      <c r="BF320" s="202">
        <f t="shared" ref="BF320" si="932">BF319+BE320</f>
        <v>1</v>
      </c>
      <c r="BG320" s="202">
        <f t="shared" ref="BG320" si="933">BG319+BF320</f>
        <v>1</v>
      </c>
      <c r="BH320" s="202">
        <f t="shared" ref="BH320" si="934">BH319+BG320</f>
        <v>1</v>
      </c>
      <c r="BI320" s="202">
        <f t="shared" ref="BI320" si="935">BI319+BH320</f>
        <v>1</v>
      </c>
    </row>
    <row r="321" spans="1:61" s="140" customFormat="1" ht="10.199999999999999" x14ac:dyDescent="0.25">
      <c r="I321" s="145"/>
      <c r="J321" s="145"/>
      <c r="K321" s="145"/>
      <c r="L321" s="146"/>
      <c r="M321" s="146"/>
      <c r="N321" s="146"/>
      <c r="O321" s="146"/>
      <c r="P321" s="146"/>
      <c r="Q321" s="146"/>
      <c r="R321" s="146"/>
      <c r="S321" s="146"/>
      <c r="T321" s="139"/>
      <c r="U321" s="139"/>
      <c r="V321" s="139"/>
      <c r="W321" s="139"/>
      <c r="X321" s="139"/>
      <c r="Y321" s="139"/>
      <c r="Z321" s="139"/>
      <c r="AA321" s="139"/>
      <c r="AB321" s="139"/>
      <c r="AC321" s="139"/>
      <c r="AD321" s="139"/>
      <c r="AE321" s="139"/>
      <c r="AF321" s="139"/>
      <c r="AG321" s="139"/>
      <c r="AH321" s="139"/>
      <c r="AI321" s="139"/>
      <c r="AJ321" s="139"/>
      <c r="AK321" s="139"/>
      <c r="AL321" s="139"/>
      <c r="AM321" s="139"/>
      <c r="AN321" s="139"/>
      <c r="AO321" s="139"/>
      <c r="AP321" s="139"/>
      <c r="AQ321" s="139"/>
      <c r="AR321" s="139"/>
      <c r="AS321" s="139"/>
      <c r="AT321" s="139"/>
      <c r="AU321" s="139"/>
      <c r="AV321" s="139"/>
      <c r="AW321" s="139"/>
      <c r="AX321" s="139"/>
      <c r="AY321" s="139"/>
      <c r="AZ321" s="139"/>
      <c r="BA321" s="139"/>
      <c r="BB321" s="139"/>
      <c r="BC321" s="139"/>
      <c r="BD321" s="139"/>
      <c r="BE321" s="139"/>
      <c r="BF321" s="139"/>
      <c r="BG321" s="139"/>
      <c r="BH321" s="139"/>
      <c r="BI321" s="139"/>
    </row>
    <row r="322" spans="1:61" s="140" customFormat="1" ht="10.199999999999999" x14ac:dyDescent="0.25">
      <c r="I322" s="145"/>
      <c r="J322" s="145"/>
      <c r="K322" s="145"/>
      <c r="L322" s="146"/>
      <c r="M322" s="146"/>
      <c r="N322" s="146"/>
      <c r="O322" s="146"/>
      <c r="P322" s="146"/>
      <c r="Q322" s="146"/>
      <c r="R322" s="146"/>
      <c r="S322" s="146"/>
      <c r="T322" s="139"/>
      <c r="U322" s="139"/>
      <c r="V322" s="139"/>
      <c r="W322" s="139"/>
      <c r="X322" s="139"/>
      <c r="Y322" s="139"/>
      <c r="Z322" s="139"/>
      <c r="AA322" s="139"/>
      <c r="AB322" s="139"/>
      <c r="AC322" s="139"/>
      <c r="AD322" s="139"/>
      <c r="AE322" s="139"/>
      <c r="AF322" s="139"/>
      <c r="AG322" s="139"/>
      <c r="AH322" s="139"/>
      <c r="AI322" s="139"/>
      <c r="AJ322" s="139"/>
      <c r="AK322" s="139"/>
      <c r="AL322" s="139"/>
      <c r="AM322" s="139"/>
      <c r="AN322" s="139"/>
      <c r="AO322" s="139"/>
      <c r="AP322" s="139"/>
      <c r="AQ322" s="139"/>
      <c r="AR322" s="139"/>
      <c r="AS322" s="139"/>
      <c r="AT322" s="139"/>
      <c r="AU322" s="139"/>
      <c r="AV322" s="139"/>
      <c r="AW322" s="139"/>
      <c r="AX322" s="139"/>
      <c r="AY322" s="139"/>
      <c r="AZ322" s="139"/>
      <c r="BA322" s="139"/>
      <c r="BB322" s="139"/>
      <c r="BC322" s="139"/>
      <c r="BD322" s="139"/>
      <c r="BE322" s="139"/>
      <c r="BF322" s="139"/>
      <c r="BG322" s="139"/>
      <c r="BH322" s="139"/>
      <c r="BI322" s="139"/>
    </row>
    <row r="323" spans="1:61" s="144" customFormat="1" ht="18" customHeight="1" x14ac:dyDescent="0.25">
      <c r="A323" s="357" t="s">
        <v>274</v>
      </c>
      <c r="B323" s="358"/>
      <c r="C323" s="363" t="s">
        <v>168</v>
      </c>
      <c r="D323" s="364"/>
      <c r="E323" s="364"/>
      <c r="F323" s="364"/>
      <c r="G323" s="365"/>
      <c r="H323" s="366">
        <f>SUM(H42,H83,H118,H135,H176,H209,H225,H258,H278,H295,H312)</f>
        <v>13433137400.143499</v>
      </c>
      <c r="I323" s="366"/>
      <c r="J323" s="367">
        <f>J317</f>
        <v>0</v>
      </c>
      <c r="K323" s="367"/>
      <c r="L323" s="230">
        <f>SUM(L312,L295,L278,L258,L225,L209,L176,L135,L118,L83,L42)</f>
        <v>87990814.760000005</v>
      </c>
      <c r="M323" s="230">
        <f>SUM(M312,M295,M278,M258,M225,M209,M176,M135,M118,M83,M42)</f>
        <v>231988993.14520001</v>
      </c>
      <c r="N323" s="230">
        <f t="shared" ref="N323:BI323" si="936">SUM(N312,N295,N278,N258,N225,N209,N176,N135,N118,N83,N42)</f>
        <v>302654805.41264999</v>
      </c>
      <c r="O323" s="230">
        <f t="shared" si="936"/>
        <v>298892295.77639997</v>
      </c>
      <c r="P323" s="230">
        <f t="shared" si="936"/>
        <v>312097275.9375</v>
      </c>
      <c r="Q323" s="230">
        <f t="shared" si="936"/>
        <v>212274294.56980002</v>
      </c>
      <c r="R323" s="230">
        <f t="shared" si="936"/>
        <v>287339436.43925005</v>
      </c>
      <c r="S323" s="230">
        <f t="shared" si="936"/>
        <v>399253767.51785004</v>
      </c>
      <c r="T323" s="230">
        <f t="shared" si="936"/>
        <v>517761766.82025003</v>
      </c>
      <c r="U323" s="230">
        <f t="shared" si="936"/>
        <v>366744828.05984503</v>
      </c>
      <c r="V323" s="230">
        <f t="shared" si="936"/>
        <v>434713492.71698004</v>
      </c>
      <c r="W323" s="230">
        <f t="shared" si="936"/>
        <v>426664956.11403006</v>
      </c>
      <c r="X323" s="230">
        <f t="shared" si="936"/>
        <v>387860076.73444498</v>
      </c>
      <c r="Y323" s="230">
        <f t="shared" si="936"/>
        <v>511141163.71059</v>
      </c>
      <c r="Z323" s="230">
        <f t="shared" si="936"/>
        <v>531383482.97104996</v>
      </c>
      <c r="AA323" s="230">
        <f t="shared" si="936"/>
        <v>301257644.90017003</v>
      </c>
      <c r="AB323" s="230">
        <f t="shared" si="936"/>
        <v>274204032.06050998</v>
      </c>
      <c r="AC323" s="230">
        <f t="shared" si="936"/>
        <v>337474247.87871003</v>
      </c>
      <c r="AD323" s="230">
        <f t="shared" si="936"/>
        <v>287837043.07871002</v>
      </c>
      <c r="AE323" s="230">
        <f t="shared" si="936"/>
        <v>287837043.07871002</v>
      </c>
      <c r="AF323" s="230">
        <f t="shared" si="936"/>
        <v>287837043.07871002</v>
      </c>
      <c r="AG323" s="230">
        <f t="shared" si="936"/>
        <v>346286057.41811001</v>
      </c>
      <c r="AH323" s="230">
        <f t="shared" si="936"/>
        <v>317849382.01811004</v>
      </c>
      <c r="AI323" s="230">
        <f t="shared" si="936"/>
        <v>339933752.94205004</v>
      </c>
      <c r="AJ323" s="230">
        <f t="shared" si="936"/>
        <v>339933752.94205004</v>
      </c>
      <c r="AK323" s="230">
        <f t="shared" si="936"/>
        <v>325777350.03356999</v>
      </c>
      <c r="AL323" s="230">
        <f t="shared" si="936"/>
        <v>303692979.10962999</v>
      </c>
      <c r="AM323" s="230">
        <f t="shared" si="936"/>
        <v>303692979.10962999</v>
      </c>
      <c r="AN323" s="230">
        <f t="shared" si="936"/>
        <v>273680640.17023003</v>
      </c>
      <c r="AO323" s="230">
        <f t="shared" si="936"/>
        <v>678880544.46078002</v>
      </c>
      <c r="AP323" s="230">
        <f t="shared" si="936"/>
        <v>237193125.98198003</v>
      </c>
      <c r="AQ323" s="230">
        <f t="shared" si="936"/>
        <v>265629801.38198</v>
      </c>
      <c r="AR323" s="230">
        <f t="shared" si="936"/>
        <v>237193125.98198003</v>
      </c>
      <c r="AS323" s="230">
        <f t="shared" si="936"/>
        <v>237193125.98198003</v>
      </c>
      <c r="AT323" s="230">
        <f t="shared" si="936"/>
        <v>207180787.04258001</v>
      </c>
      <c r="AU323" s="230">
        <f t="shared" si="936"/>
        <v>185096416.11864001</v>
      </c>
      <c r="AV323" s="230">
        <f t="shared" si="936"/>
        <v>170090246.64894003</v>
      </c>
      <c r="AW323" s="230">
        <f t="shared" si="936"/>
        <v>170090246.64894003</v>
      </c>
      <c r="AX323" s="230">
        <f t="shared" si="936"/>
        <v>170090246.64894003</v>
      </c>
      <c r="AY323" s="230">
        <f t="shared" si="936"/>
        <v>170090246.64894003</v>
      </c>
      <c r="AZ323" s="230">
        <f t="shared" si="936"/>
        <v>155084077.17924002</v>
      </c>
      <c r="BA323" s="230">
        <f t="shared" si="936"/>
        <v>155084077.17924002</v>
      </c>
      <c r="BB323" s="230">
        <f t="shared" si="936"/>
        <v>132999706.25530002</v>
      </c>
      <c r="BC323" s="230">
        <f t="shared" si="936"/>
        <v>102987367.31590001</v>
      </c>
      <c r="BD323" s="230">
        <f t="shared" si="936"/>
        <v>102987367.31590001</v>
      </c>
      <c r="BE323" s="230">
        <f t="shared" si="936"/>
        <v>102987367.31590001</v>
      </c>
      <c r="BF323" s="230">
        <f t="shared" si="936"/>
        <v>102987367.31590001</v>
      </c>
      <c r="BG323" s="230">
        <f t="shared" si="936"/>
        <v>102987367.31590001</v>
      </c>
      <c r="BH323" s="230">
        <f t="shared" si="936"/>
        <v>102987367.31590001</v>
      </c>
      <c r="BI323" s="230">
        <f t="shared" si="936"/>
        <v>66499853.127650008</v>
      </c>
    </row>
    <row r="324" spans="1:61" s="144" customFormat="1" ht="18" customHeight="1" x14ac:dyDescent="0.25">
      <c r="A324" s="359"/>
      <c r="B324" s="360"/>
      <c r="C324" s="363" t="s">
        <v>169</v>
      </c>
      <c r="D324" s="364"/>
      <c r="E324" s="364"/>
      <c r="F324" s="364"/>
      <c r="G324" s="365"/>
      <c r="H324" s="366"/>
      <c r="I324" s="366"/>
      <c r="J324" s="367"/>
      <c r="K324" s="367"/>
      <c r="L324" s="231">
        <f>L323</f>
        <v>87990814.760000005</v>
      </c>
      <c r="M324" s="231">
        <f>M323+L324</f>
        <v>319979807.9052</v>
      </c>
      <c r="N324" s="231">
        <f t="shared" ref="N324:BI324" si="937">N323+M324</f>
        <v>622634613.31784999</v>
      </c>
      <c r="O324" s="231">
        <f t="shared" si="937"/>
        <v>921526909.09424996</v>
      </c>
      <c r="P324" s="231">
        <f t="shared" si="937"/>
        <v>1233624185.03175</v>
      </c>
      <c r="Q324" s="231">
        <f t="shared" si="937"/>
        <v>1445898479.6015501</v>
      </c>
      <c r="R324" s="231">
        <f t="shared" si="937"/>
        <v>1733237916.0408001</v>
      </c>
      <c r="S324" s="231">
        <f t="shared" si="937"/>
        <v>2132491683.55865</v>
      </c>
      <c r="T324" s="231">
        <f t="shared" si="937"/>
        <v>2650253450.3789001</v>
      </c>
      <c r="U324" s="231">
        <f t="shared" si="937"/>
        <v>3016998278.438745</v>
      </c>
      <c r="V324" s="231">
        <f t="shared" si="937"/>
        <v>3451711771.155725</v>
      </c>
      <c r="W324" s="231">
        <f t="shared" si="937"/>
        <v>3878376727.2697549</v>
      </c>
      <c r="X324" s="231">
        <f t="shared" si="937"/>
        <v>4266236804.0042</v>
      </c>
      <c r="Y324" s="231">
        <f t="shared" si="937"/>
        <v>4777377967.7147903</v>
      </c>
      <c r="Z324" s="231">
        <f t="shared" si="937"/>
        <v>5308761450.6858406</v>
      </c>
      <c r="AA324" s="231">
        <f t="shared" si="937"/>
        <v>5610019095.5860109</v>
      </c>
      <c r="AB324" s="231">
        <f t="shared" si="937"/>
        <v>5884223127.6465206</v>
      </c>
      <c r="AC324" s="231">
        <f t="shared" si="937"/>
        <v>6221697375.5252304</v>
      </c>
      <c r="AD324" s="231">
        <f t="shared" si="937"/>
        <v>6509534418.60394</v>
      </c>
      <c r="AE324" s="231">
        <f t="shared" si="937"/>
        <v>6797371461.6826496</v>
      </c>
      <c r="AF324" s="231">
        <f t="shared" si="937"/>
        <v>7085208504.7613592</v>
      </c>
      <c r="AG324" s="231">
        <f t="shared" si="937"/>
        <v>7431494562.1794691</v>
      </c>
      <c r="AH324" s="231">
        <f t="shared" si="937"/>
        <v>7749343944.1975794</v>
      </c>
      <c r="AI324" s="231">
        <f t="shared" si="937"/>
        <v>8089277697.1396294</v>
      </c>
      <c r="AJ324" s="231">
        <f t="shared" si="937"/>
        <v>8429211450.0816793</v>
      </c>
      <c r="AK324" s="231">
        <f t="shared" si="937"/>
        <v>8754988800.1152496</v>
      </c>
      <c r="AL324" s="231">
        <f t="shared" si="937"/>
        <v>9058681779.2248802</v>
      </c>
      <c r="AM324" s="231">
        <f t="shared" si="937"/>
        <v>9362374758.3345108</v>
      </c>
      <c r="AN324" s="231">
        <f t="shared" si="937"/>
        <v>9636055398.5047417</v>
      </c>
      <c r="AO324" s="231">
        <f t="shared" si="937"/>
        <v>10314935942.965521</v>
      </c>
      <c r="AP324" s="231">
        <f t="shared" si="937"/>
        <v>10552129068.9475</v>
      </c>
      <c r="AQ324" s="231">
        <f t="shared" si="937"/>
        <v>10817758870.329481</v>
      </c>
      <c r="AR324" s="231">
        <f t="shared" si="937"/>
        <v>11054951996.31146</v>
      </c>
      <c r="AS324" s="231">
        <f t="shared" si="937"/>
        <v>11292145122.29344</v>
      </c>
      <c r="AT324" s="231">
        <f t="shared" si="937"/>
        <v>11499325909.33602</v>
      </c>
      <c r="AU324" s="231">
        <f t="shared" si="937"/>
        <v>11684422325.45466</v>
      </c>
      <c r="AV324" s="231">
        <f t="shared" si="937"/>
        <v>11854512572.1036</v>
      </c>
      <c r="AW324" s="231">
        <f t="shared" si="937"/>
        <v>12024602818.752539</v>
      </c>
      <c r="AX324" s="231">
        <f t="shared" si="937"/>
        <v>12194693065.401478</v>
      </c>
      <c r="AY324" s="231">
        <f t="shared" si="937"/>
        <v>12364783312.050417</v>
      </c>
      <c r="AZ324" s="231">
        <f t="shared" si="937"/>
        <v>12519867389.229656</v>
      </c>
      <c r="BA324" s="231">
        <f t="shared" si="937"/>
        <v>12674951466.408895</v>
      </c>
      <c r="BB324" s="231">
        <f t="shared" si="937"/>
        <v>12807951172.664196</v>
      </c>
      <c r="BC324" s="231">
        <f t="shared" si="937"/>
        <v>12910938539.980097</v>
      </c>
      <c r="BD324" s="231">
        <f t="shared" si="937"/>
        <v>13013925907.295998</v>
      </c>
      <c r="BE324" s="231">
        <f t="shared" si="937"/>
        <v>13116913274.611898</v>
      </c>
      <c r="BF324" s="231">
        <f t="shared" si="937"/>
        <v>13219900641.927799</v>
      </c>
      <c r="BG324" s="231">
        <f t="shared" si="937"/>
        <v>13322888009.2437</v>
      </c>
      <c r="BH324" s="231">
        <f t="shared" si="937"/>
        <v>13425875376.559601</v>
      </c>
      <c r="BI324" s="231">
        <f t="shared" si="937"/>
        <v>13492375229.68725</v>
      </c>
    </row>
    <row r="325" spans="1:61" s="144" customFormat="1" ht="18" customHeight="1" x14ac:dyDescent="0.25">
      <c r="A325" s="359"/>
      <c r="B325" s="360"/>
      <c r="C325" s="363" t="s">
        <v>170</v>
      </c>
      <c r="D325" s="364"/>
      <c r="E325" s="364"/>
      <c r="F325" s="364"/>
      <c r="G325" s="365"/>
      <c r="H325" s="366"/>
      <c r="I325" s="366"/>
      <c r="J325" s="367"/>
      <c r="K325" s="367"/>
      <c r="L325" s="232">
        <f>L323/$H$323</f>
        <v>6.5502802613379091E-3</v>
      </c>
      <c r="M325" s="232">
        <f>M323/$H$323</f>
        <v>1.7269903987040421E-2</v>
      </c>
      <c r="N325" s="232">
        <f t="shared" ref="N325:BI325" si="938">N323/$H$323</f>
        <v>2.2530463018223642E-2</v>
      </c>
      <c r="O325" s="232">
        <f t="shared" si="938"/>
        <v>2.2250371366945673E-2</v>
      </c>
      <c r="P325" s="232">
        <f t="shared" si="938"/>
        <v>2.3233386709359947E-2</v>
      </c>
      <c r="Q325" s="232">
        <f t="shared" si="938"/>
        <v>1.5802287153523227E-2</v>
      </c>
      <c r="R325" s="232">
        <f t="shared" si="938"/>
        <v>2.1390344480223998E-2</v>
      </c>
      <c r="S325" s="232">
        <f t="shared" si="938"/>
        <v>2.972155763951205E-2</v>
      </c>
      <c r="T325" s="232">
        <f t="shared" si="938"/>
        <v>3.8543621746526542E-2</v>
      </c>
      <c r="U325" s="232">
        <f t="shared" si="938"/>
        <v>2.7301502034508131E-2</v>
      </c>
      <c r="V325" s="232">
        <f t="shared" si="938"/>
        <v>3.2361277918019078E-2</v>
      </c>
      <c r="W325" s="232">
        <f t="shared" si="938"/>
        <v>3.1762122533599058E-2</v>
      </c>
      <c r="X325" s="232">
        <f t="shared" si="938"/>
        <v>2.8873379701327379E-2</v>
      </c>
      <c r="Y325" s="232">
        <f t="shared" si="938"/>
        <v>3.8050765691202547E-2</v>
      </c>
      <c r="Z325" s="232">
        <f t="shared" si="938"/>
        <v>3.9557660071680163E-2</v>
      </c>
      <c r="AA325" s="232">
        <f t="shared" si="938"/>
        <v>2.2426454515156811E-2</v>
      </c>
      <c r="AB325" s="232">
        <f t="shared" si="938"/>
        <v>2.0412508551991792E-2</v>
      </c>
      <c r="AC325" s="232">
        <f t="shared" si="938"/>
        <v>2.5122518874489064E-2</v>
      </c>
      <c r="AD325" s="232">
        <f t="shared" si="938"/>
        <v>2.1427387698396892E-2</v>
      </c>
      <c r="AE325" s="232">
        <f t="shared" si="938"/>
        <v>2.1427387698396892E-2</v>
      </c>
      <c r="AF325" s="232">
        <f t="shared" si="938"/>
        <v>2.1427387698396892E-2</v>
      </c>
      <c r="AG325" s="232">
        <f t="shared" si="938"/>
        <v>2.5778494412959017E-2</v>
      </c>
      <c r="AH325" s="232">
        <f t="shared" si="938"/>
        <v>2.3661589437380028E-2</v>
      </c>
      <c r="AI325" s="232">
        <f t="shared" si="938"/>
        <v>2.530561125194913E-2</v>
      </c>
      <c r="AJ325" s="232">
        <f t="shared" si="938"/>
        <v>2.530561125194913E-2</v>
      </c>
      <c r="AK325" s="232">
        <f t="shared" si="938"/>
        <v>2.4251769361794056E-2</v>
      </c>
      <c r="AL325" s="232">
        <f t="shared" si="938"/>
        <v>2.2607747547224954E-2</v>
      </c>
      <c r="AM325" s="232">
        <f t="shared" si="938"/>
        <v>2.2607747547224954E-2</v>
      </c>
      <c r="AN325" s="232">
        <f t="shared" si="938"/>
        <v>2.0373545808241821E-2</v>
      </c>
      <c r="AO325" s="232">
        <f t="shared" si="938"/>
        <v>5.0537750358566856E-2</v>
      </c>
      <c r="AP325" s="232">
        <f t="shared" si="938"/>
        <v>1.7657314067184796E-2</v>
      </c>
      <c r="AQ325" s="232">
        <f t="shared" si="938"/>
        <v>1.9774219042763785E-2</v>
      </c>
      <c r="AR325" s="232">
        <f t="shared" si="938"/>
        <v>1.7657314067184796E-2</v>
      </c>
      <c r="AS325" s="232">
        <f t="shared" si="938"/>
        <v>1.7657314067184796E-2</v>
      </c>
      <c r="AT325" s="232">
        <f t="shared" si="938"/>
        <v>1.5423112328201661E-2</v>
      </c>
      <c r="AU325" s="232">
        <f t="shared" si="938"/>
        <v>1.3779090513632557E-2</v>
      </c>
      <c r="AV325" s="232">
        <f t="shared" si="938"/>
        <v>1.2661989644140991E-2</v>
      </c>
      <c r="AW325" s="232">
        <f t="shared" si="938"/>
        <v>1.2661989644140991E-2</v>
      </c>
      <c r="AX325" s="232">
        <f t="shared" si="938"/>
        <v>1.2661989644140991E-2</v>
      </c>
      <c r="AY325" s="232">
        <f t="shared" si="938"/>
        <v>1.2661989644140991E-2</v>
      </c>
      <c r="AZ325" s="232">
        <f t="shared" si="938"/>
        <v>1.1544888774649422E-2</v>
      </c>
      <c r="BA325" s="232">
        <f t="shared" si="938"/>
        <v>1.1544888774649422E-2</v>
      </c>
      <c r="BB325" s="232">
        <f t="shared" si="938"/>
        <v>9.9008669600803203E-3</v>
      </c>
      <c r="BC325" s="232">
        <f t="shared" si="938"/>
        <v>7.6666652210971836E-3</v>
      </c>
      <c r="BD325" s="232">
        <f t="shared" si="938"/>
        <v>7.6666652210971836E-3</v>
      </c>
      <c r="BE325" s="232">
        <f t="shared" si="938"/>
        <v>7.6666652210971836E-3</v>
      </c>
      <c r="BF325" s="232">
        <f t="shared" si="938"/>
        <v>7.6666652210971836E-3</v>
      </c>
      <c r="BG325" s="232">
        <f t="shared" si="938"/>
        <v>7.6666652210971836E-3</v>
      </c>
      <c r="BH325" s="232">
        <f t="shared" si="938"/>
        <v>7.6666652210971836E-3</v>
      </c>
      <c r="BI325" s="232">
        <f t="shared" si="938"/>
        <v>4.9504334800401601E-3</v>
      </c>
    </row>
    <row r="326" spans="1:61" s="144" customFormat="1" ht="18" customHeight="1" x14ac:dyDescent="0.25">
      <c r="A326" s="361"/>
      <c r="B326" s="362"/>
      <c r="C326" s="363" t="s">
        <v>171</v>
      </c>
      <c r="D326" s="364"/>
      <c r="E326" s="364"/>
      <c r="F326" s="364"/>
      <c r="G326" s="365"/>
      <c r="H326" s="366"/>
      <c r="I326" s="366"/>
      <c r="J326" s="367"/>
      <c r="K326" s="367"/>
      <c r="L326" s="232">
        <f>L325</f>
        <v>6.5502802613379091E-3</v>
      </c>
      <c r="M326" s="232">
        <f>M325+L326</f>
        <v>2.382018424837833E-2</v>
      </c>
      <c r="N326" s="232">
        <f t="shared" ref="N326:BI326" si="939">N325+M326</f>
        <v>4.6350647266601971E-2</v>
      </c>
      <c r="O326" s="232">
        <f t="shared" si="939"/>
        <v>6.8601018633547645E-2</v>
      </c>
      <c r="P326" s="232">
        <f t="shared" si="939"/>
        <v>9.1834405342907599E-2</v>
      </c>
      <c r="Q326" s="232">
        <f t="shared" si="939"/>
        <v>0.10763669249643082</v>
      </c>
      <c r="R326" s="232">
        <f t="shared" si="939"/>
        <v>0.12902703697665482</v>
      </c>
      <c r="S326" s="232">
        <f t="shared" si="939"/>
        <v>0.15874859461616686</v>
      </c>
      <c r="T326" s="232">
        <f t="shared" si="939"/>
        <v>0.1972922163626934</v>
      </c>
      <c r="U326" s="232">
        <f t="shared" si="939"/>
        <v>0.22459371839720152</v>
      </c>
      <c r="V326" s="232">
        <f t="shared" si="939"/>
        <v>0.25695499631522062</v>
      </c>
      <c r="W326" s="232">
        <f t="shared" si="939"/>
        <v>0.28871711884881968</v>
      </c>
      <c r="X326" s="232">
        <f t="shared" si="939"/>
        <v>0.31759049855014704</v>
      </c>
      <c r="Y326" s="232">
        <f t="shared" si="939"/>
        <v>0.35564126424134956</v>
      </c>
      <c r="Z326" s="232">
        <f t="shared" si="939"/>
        <v>0.39519892431302972</v>
      </c>
      <c r="AA326" s="232">
        <f t="shared" si="939"/>
        <v>0.41762537882818651</v>
      </c>
      <c r="AB326" s="232">
        <f t="shared" si="939"/>
        <v>0.43803788738017829</v>
      </c>
      <c r="AC326" s="232">
        <f t="shared" si="939"/>
        <v>0.46316040625466737</v>
      </c>
      <c r="AD326" s="232">
        <f t="shared" si="939"/>
        <v>0.48458779395306428</v>
      </c>
      <c r="AE326" s="232">
        <f t="shared" si="939"/>
        <v>0.5060151816514612</v>
      </c>
      <c r="AF326" s="232">
        <f t="shared" si="939"/>
        <v>0.52744256934985811</v>
      </c>
      <c r="AG326" s="232">
        <f t="shared" si="939"/>
        <v>0.5532210637628171</v>
      </c>
      <c r="AH326" s="232">
        <f t="shared" si="939"/>
        <v>0.57688265320019716</v>
      </c>
      <c r="AI326" s="232">
        <f t="shared" si="939"/>
        <v>0.60218826445214624</v>
      </c>
      <c r="AJ326" s="232">
        <f t="shared" si="939"/>
        <v>0.62749387570409532</v>
      </c>
      <c r="AK326" s="232">
        <f t="shared" si="939"/>
        <v>0.65174564506588939</v>
      </c>
      <c r="AL326" s="232">
        <f t="shared" si="939"/>
        <v>0.67435339261311433</v>
      </c>
      <c r="AM326" s="232">
        <f t="shared" si="939"/>
        <v>0.69696114016033928</v>
      </c>
      <c r="AN326" s="232">
        <f t="shared" si="939"/>
        <v>0.71733468596858108</v>
      </c>
      <c r="AO326" s="232">
        <f t="shared" si="939"/>
        <v>0.76787243632714797</v>
      </c>
      <c r="AP326" s="232">
        <f t="shared" si="939"/>
        <v>0.78552975039433282</v>
      </c>
      <c r="AQ326" s="232">
        <f t="shared" si="939"/>
        <v>0.80530396943709659</v>
      </c>
      <c r="AR326" s="232">
        <f t="shared" si="939"/>
        <v>0.82296128350428144</v>
      </c>
      <c r="AS326" s="232">
        <f t="shared" si="939"/>
        <v>0.84061859757146629</v>
      </c>
      <c r="AT326" s="232">
        <f t="shared" si="939"/>
        <v>0.85604170989966799</v>
      </c>
      <c r="AU326" s="232">
        <f t="shared" si="939"/>
        <v>0.86982080041330057</v>
      </c>
      <c r="AV326" s="232">
        <f t="shared" si="939"/>
        <v>0.88248279005744157</v>
      </c>
      <c r="AW326" s="232">
        <f t="shared" si="939"/>
        <v>0.89514477970158257</v>
      </c>
      <c r="AX326" s="232">
        <f t="shared" si="939"/>
        <v>0.90780676934572357</v>
      </c>
      <c r="AY326" s="232">
        <f t="shared" si="939"/>
        <v>0.92046875898986458</v>
      </c>
      <c r="AZ326" s="232">
        <f t="shared" si="939"/>
        <v>0.93201364776451401</v>
      </c>
      <c r="BA326" s="232">
        <f t="shared" si="939"/>
        <v>0.94355853653916344</v>
      </c>
      <c r="BB326" s="232">
        <f t="shared" si="939"/>
        <v>0.95345940349924374</v>
      </c>
      <c r="BC326" s="232">
        <f t="shared" si="939"/>
        <v>0.9611260687203409</v>
      </c>
      <c r="BD326" s="232">
        <f t="shared" si="939"/>
        <v>0.96879273394143806</v>
      </c>
      <c r="BE326" s="232">
        <f t="shared" si="939"/>
        <v>0.97645939916253521</v>
      </c>
      <c r="BF326" s="232">
        <f t="shared" si="939"/>
        <v>0.98412606438363237</v>
      </c>
      <c r="BG326" s="232">
        <f t="shared" si="939"/>
        <v>0.99179272960472953</v>
      </c>
      <c r="BH326" s="232">
        <f t="shared" si="939"/>
        <v>0.99945939482582669</v>
      </c>
      <c r="BI326" s="232">
        <f t="shared" si="939"/>
        <v>1.0044098283058669</v>
      </c>
    </row>
    <row r="327" spans="1:61" s="140" customFormat="1" ht="10.199999999999999" x14ac:dyDescent="0.25">
      <c r="I327" s="145"/>
      <c r="J327" s="145"/>
      <c r="K327" s="145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  <c r="AB327" s="146"/>
      <c r="AC327" s="146"/>
      <c r="AD327" s="146"/>
      <c r="AE327" s="146"/>
      <c r="AF327" s="146"/>
      <c r="AG327" s="146"/>
      <c r="AH327" s="146"/>
      <c r="AI327" s="146"/>
      <c r="AJ327" s="146"/>
      <c r="AK327" s="146"/>
      <c r="AL327" s="146"/>
      <c r="AM327" s="146"/>
      <c r="AN327" s="146"/>
      <c r="AO327" s="146"/>
      <c r="AP327" s="146"/>
      <c r="AQ327" s="146"/>
      <c r="AR327" s="146"/>
      <c r="AS327" s="146"/>
      <c r="AT327" s="146"/>
      <c r="AU327" s="146"/>
      <c r="AV327" s="146"/>
      <c r="AW327" s="146"/>
      <c r="AX327" s="146"/>
      <c r="AY327" s="146"/>
      <c r="AZ327" s="146"/>
      <c r="BA327" s="146"/>
      <c r="BB327" s="146"/>
      <c r="BC327" s="146"/>
      <c r="BD327" s="146"/>
      <c r="BE327" s="146"/>
      <c r="BF327" s="146"/>
      <c r="BG327" s="146"/>
      <c r="BH327" s="146"/>
      <c r="BI327" s="146"/>
    </row>
    <row r="328" spans="1:61" s="144" customFormat="1" ht="18" customHeight="1" x14ac:dyDescent="0.25">
      <c r="A328" s="346" t="s">
        <v>275</v>
      </c>
      <c r="B328" s="347"/>
      <c r="C328" s="352" t="s">
        <v>168</v>
      </c>
      <c r="D328" s="353"/>
      <c r="E328" s="353"/>
      <c r="F328" s="353"/>
      <c r="G328" s="354"/>
      <c r="H328" s="355">
        <f>SUM(H47,H88,H123,H140,H181,H214,H230,H263,H283,H300,H317)</f>
        <v>0</v>
      </c>
      <c r="I328" s="355">
        <f>SUM(I47,I88,I123,I140,I181,I214,I230,I263,I283,I300,I317)</f>
        <v>9639407343.3317394</v>
      </c>
      <c r="J328" s="356"/>
      <c r="K328" s="356">
        <f>K317</f>
        <v>1</v>
      </c>
      <c r="L328" s="233">
        <f>SUM(L317,L300,L283,L263,L230,L214,L181,L140,L123,L88,L47)</f>
        <v>24415598.210949354</v>
      </c>
      <c r="M328" s="233">
        <f>SUM(M317,M300,M283,M263,M230,M214,M181,M140,M123,M88,M47)</f>
        <v>87573681.166984037</v>
      </c>
      <c r="N328" s="233">
        <f t="shared" ref="N328:BI328" si="940">SUM(N317,N300,N283,N263,N230,N214,N181,N140,N123,N88,N47)</f>
        <v>166766754.13351268</v>
      </c>
      <c r="O328" s="233">
        <f t="shared" si="940"/>
        <v>192981215.10538301</v>
      </c>
      <c r="P328" s="233">
        <f t="shared" si="940"/>
        <v>190303093.43280932</v>
      </c>
      <c r="Q328" s="233">
        <f t="shared" si="940"/>
        <v>203642093.37321997</v>
      </c>
      <c r="R328" s="233">
        <f t="shared" si="940"/>
        <v>258449963.58754826</v>
      </c>
      <c r="S328" s="233">
        <f t="shared" si="940"/>
        <v>286668982.49389178</v>
      </c>
      <c r="T328" s="233">
        <f t="shared" si="940"/>
        <v>332075556.33502162</v>
      </c>
      <c r="U328" s="233">
        <f t="shared" si="940"/>
        <v>335445242.43911451</v>
      </c>
      <c r="V328" s="233">
        <f t="shared" si="940"/>
        <v>382377692.01430404</v>
      </c>
      <c r="W328" s="233">
        <f t="shared" si="940"/>
        <v>381043928.19024193</v>
      </c>
      <c r="X328" s="233">
        <f t="shared" si="940"/>
        <v>351448519.64747691</v>
      </c>
      <c r="Y328" s="233">
        <f t="shared" si="940"/>
        <v>362002657.59476072</v>
      </c>
      <c r="Z328" s="233">
        <f t="shared" si="940"/>
        <v>364544819.7111817</v>
      </c>
      <c r="AA328" s="233">
        <f t="shared" si="940"/>
        <v>301178368.50830179</v>
      </c>
      <c r="AB328" s="233">
        <f t="shared" si="940"/>
        <v>270163895.46900463</v>
      </c>
      <c r="AC328" s="233">
        <f t="shared" si="940"/>
        <v>304215752.39769977</v>
      </c>
      <c r="AD328" s="233">
        <f t="shared" si="940"/>
        <v>260405177.87729588</v>
      </c>
      <c r="AE328" s="233">
        <f t="shared" si="940"/>
        <v>263954222.99575695</v>
      </c>
      <c r="AF328" s="233">
        <f t="shared" si="940"/>
        <v>268859777.56571132</v>
      </c>
      <c r="AG328" s="233">
        <f t="shared" si="940"/>
        <v>271626158.60626155</v>
      </c>
      <c r="AH328" s="233">
        <f t="shared" si="940"/>
        <v>243456829.55083001</v>
      </c>
      <c r="AI328" s="233">
        <f t="shared" si="940"/>
        <v>254807038.82168001</v>
      </c>
      <c r="AJ328" s="233">
        <f t="shared" si="940"/>
        <v>243923505.53739715</v>
      </c>
      <c r="AK328" s="233">
        <f t="shared" si="940"/>
        <v>216587357.29603595</v>
      </c>
      <c r="AL328" s="233">
        <f t="shared" si="940"/>
        <v>199037413.29855275</v>
      </c>
      <c r="AM328" s="233">
        <f t="shared" si="940"/>
        <v>199037413.29855275</v>
      </c>
      <c r="AN328" s="233">
        <f t="shared" si="940"/>
        <v>175706341.70301503</v>
      </c>
      <c r="AO328" s="233">
        <f t="shared" si="940"/>
        <v>398394179.71803069</v>
      </c>
      <c r="AP328" s="233">
        <f t="shared" si="940"/>
        <v>149226541.21412694</v>
      </c>
      <c r="AQ328" s="233">
        <f t="shared" si="940"/>
        <v>150433719.91489244</v>
      </c>
      <c r="AR328" s="233">
        <f t="shared" si="940"/>
        <v>138507463.1672048</v>
      </c>
      <c r="AS328" s="233">
        <f t="shared" si="940"/>
        <v>138507463.1672048</v>
      </c>
      <c r="AT328" s="233">
        <f t="shared" si="940"/>
        <v>120535930.59512818</v>
      </c>
      <c r="AU328" s="233">
        <f t="shared" si="940"/>
        <v>108345525.62110606</v>
      </c>
      <c r="AV328" s="233">
        <f t="shared" si="940"/>
        <v>99359759.335067749</v>
      </c>
      <c r="AW328" s="233">
        <f t="shared" si="940"/>
        <v>99359759.335067749</v>
      </c>
      <c r="AX328" s="233">
        <f t="shared" si="940"/>
        <v>99359759.335067749</v>
      </c>
      <c r="AY328" s="233">
        <f t="shared" si="940"/>
        <v>99359759.335067749</v>
      </c>
      <c r="AZ328" s="233">
        <f t="shared" si="940"/>
        <v>90373993.04902944</v>
      </c>
      <c r="BA328" s="233">
        <f t="shared" si="940"/>
        <v>90373993.04902944</v>
      </c>
      <c r="BB328" s="233">
        <f t="shared" si="940"/>
        <v>78183588.075007305</v>
      </c>
      <c r="BC328" s="233">
        <f t="shared" si="940"/>
        <v>60212055.502930686</v>
      </c>
      <c r="BD328" s="233">
        <f t="shared" si="940"/>
        <v>60212055.502930686</v>
      </c>
      <c r="BE328" s="233">
        <f t="shared" si="940"/>
        <v>60212055.502930686</v>
      </c>
      <c r="BF328" s="233">
        <f t="shared" si="940"/>
        <v>60212055.502930686</v>
      </c>
      <c r="BG328" s="233">
        <f t="shared" si="940"/>
        <v>60212055.502930686</v>
      </c>
      <c r="BH328" s="233">
        <f t="shared" si="940"/>
        <v>60212055.502930686</v>
      </c>
      <c r="BI328" s="233">
        <f t="shared" si="940"/>
        <v>39091794.037503652</v>
      </c>
    </row>
    <row r="329" spans="1:61" s="144" customFormat="1" ht="18" customHeight="1" x14ac:dyDescent="0.25">
      <c r="A329" s="348"/>
      <c r="B329" s="349"/>
      <c r="C329" s="352" t="s">
        <v>169</v>
      </c>
      <c r="D329" s="353"/>
      <c r="E329" s="353"/>
      <c r="F329" s="353"/>
      <c r="G329" s="354"/>
      <c r="H329" s="355"/>
      <c r="I329" s="355"/>
      <c r="J329" s="356"/>
      <c r="K329" s="356"/>
      <c r="L329" s="234">
        <f>L328</f>
        <v>24415598.210949354</v>
      </c>
      <c r="M329" s="234">
        <f>M328+L329</f>
        <v>111989279.37793338</v>
      </c>
      <c r="N329" s="234">
        <f t="shared" ref="N329:BI329" si="941">N328+M329</f>
        <v>278756033.51144606</v>
      </c>
      <c r="O329" s="234">
        <f t="shared" si="941"/>
        <v>471737248.61682904</v>
      </c>
      <c r="P329" s="234">
        <f t="shared" si="941"/>
        <v>662040342.04963839</v>
      </c>
      <c r="Q329" s="234">
        <f t="shared" si="941"/>
        <v>865682435.42285836</v>
      </c>
      <c r="R329" s="234">
        <f t="shared" si="941"/>
        <v>1124132399.0104065</v>
      </c>
      <c r="S329" s="234">
        <f t="shared" si="941"/>
        <v>1410801381.5042982</v>
      </c>
      <c r="T329" s="234">
        <f t="shared" si="941"/>
        <v>1742876937.8393197</v>
      </c>
      <c r="U329" s="234">
        <f t="shared" si="941"/>
        <v>2078322180.2784343</v>
      </c>
      <c r="V329" s="234">
        <f t="shared" si="941"/>
        <v>2460699872.2927384</v>
      </c>
      <c r="W329" s="234">
        <f t="shared" si="941"/>
        <v>2841743800.4829803</v>
      </c>
      <c r="X329" s="234">
        <f t="shared" si="941"/>
        <v>3193192320.1304569</v>
      </c>
      <c r="Y329" s="234">
        <f t="shared" si="941"/>
        <v>3555194977.7252178</v>
      </c>
      <c r="Z329" s="234">
        <f t="shared" si="941"/>
        <v>3919739797.4363995</v>
      </c>
      <c r="AA329" s="234">
        <f t="shared" si="941"/>
        <v>4220918165.9447012</v>
      </c>
      <c r="AB329" s="234">
        <f t="shared" si="941"/>
        <v>4491082061.4137058</v>
      </c>
      <c r="AC329" s="234">
        <f t="shared" si="941"/>
        <v>4795297813.8114052</v>
      </c>
      <c r="AD329" s="234">
        <f t="shared" si="941"/>
        <v>5055702991.6887007</v>
      </c>
      <c r="AE329" s="234">
        <f t="shared" si="941"/>
        <v>5319657214.6844578</v>
      </c>
      <c r="AF329" s="234">
        <f t="shared" si="941"/>
        <v>5588516992.2501688</v>
      </c>
      <c r="AG329" s="234">
        <f t="shared" si="941"/>
        <v>5860143150.8564301</v>
      </c>
      <c r="AH329" s="234">
        <f t="shared" si="941"/>
        <v>6103599980.4072599</v>
      </c>
      <c r="AI329" s="234">
        <f t="shared" si="941"/>
        <v>6358407019.22894</v>
      </c>
      <c r="AJ329" s="234">
        <f t="shared" si="941"/>
        <v>6602330524.7663374</v>
      </c>
      <c r="AK329" s="234">
        <f t="shared" si="941"/>
        <v>6818917882.0623732</v>
      </c>
      <c r="AL329" s="234">
        <f t="shared" si="941"/>
        <v>7017955295.3609257</v>
      </c>
      <c r="AM329" s="234">
        <f t="shared" si="941"/>
        <v>7216992708.6594782</v>
      </c>
      <c r="AN329" s="234">
        <f t="shared" si="941"/>
        <v>7392699050.3624935</v>
      </c>
      <c r="AO329" s="234">
        <f t="shared" si="941"/>
        <v>7791093230.0805244</v>
      </c>
      <c r="AP329" s="234">
        <f t="shared" si="941"/>
        <v>7940319771.294651</v>
      </c>
      <c r="AQ329" s="234">
        <f t="shared" si="941"/>
        <v>8090753491.2095432</v>
      </c>
      <c r="AR329" s="234">
        <f t="shared" si="941"/>
        <v>8229260954.3767481</v>
      </c>
      <c r="AS329" s="234">
        <f t="shared" si="941"/>
        <v>8367768417.5439529</v>
      </c>
      <c r="AT329" s="234">
        <f t="shared" si="941"/>
        <v>8488304348.139081</v>
      </c>
      <c r="AU329" s="234">
        <f t="shared" si="941"/>
        <v>8596649873.7601871</v>
      </c>
      <c r="AV329" s="234">
        <f t="shared" si="941"/>
        <v>8696009633.0952549</v>
      </c>
      <c r="AW329" s="234">
        <f t="shared" si="941"/>
        <v>8795369392.4303226</v>
      </c>
      <c r="AX329" s="234">
        <f t="shared" si="941"/>
        <v>8894729151.7653904</v>
      </c>
      <c r="AY329" s="234">
        <f t="shared" si="941"/>
        <v>8994088911.1004581</v>
      </c>
      <c r="AZ329" s="234">
        <f t="shared" si="941"/>
        <v>9084462904.1494884</v>
      </c>
      <c r="BA329" s="234">
        <f t="shared" si="941"/>
        <v>9174836897.1985188</v>
      </c>
      <c r="BB329" s="234">
        <f t="shared" si="941"/>
        <v>9253020485.2735252</v>
      </c>
      <c r="BC329" s="234">
        <f t="shared" si="941"/>
        <v>9313232540.7764568</v>
      </c>
      <c r="BD329" s="234">
        <f t="shared" si="941"/>
        <v>9373444596.2793884</v>
      </c>
      <c r="BE329" s="234">
        <f t="shared" si="941"/>
        <v>9433656651.78232</v>
      </c>
      <c r="BF329" s="234">
        <f t="shared" si="941"/>
        <v>9493868707.2852516</v>
      </c>
      <c r="BG329" s="234">
        <f t="shared" si="941"/>
        <v>9554080762.7881832</v>
      </c>
      <c r="BH329" s="234">
        <f t="shared" si="941"/>
        <v>9614292818.2911148</v>
      </c>
      <c r="BI329" s="234">
        <f t="shared" si="941"/>
        <v>9653384612.328619</v>
      </c>
    </row>
    <row r="330" spans="1:61" s="144" customFormat="1" ht="18" customHeight="1" x14ac:dyDescent="0.25">
      <c r="A330" s="348"/>
      <c r="B330" s="349"/>
      <c r="C330" s="352" t="s">
        <v>170</v>
      </c>
      <c r="D330" s="353"/>
      <c r="E330" s="353"/>
      <c r="F330" s="353"/>
      <c r="G330" s="354"/>
      <c r="H330" s="355"/>
      <c r="I330" s="355"/>
      <c r="J330" s="356"/>
      <c r="K330" s="356"/>
      <c r="L330" s="235">
        <f>L328/$I$328</f>
        <v>2.5328941231889481E-3</v>
      </c>
      <c r="M330" s="235">
        <f>M328/$I$328</f>
        <v>9.0849652938014853E-3</v>
      </c>
      <c r="N330" s="235">
        <f t="shared" ref="N330:BI330" si="942">N328/$I$328</f>
        <v>1.7300519440012777E-2</v>
      </c>
      <c r="O330" s="235">
        <f t="shared" si="942"/>
        <v>2.002002905696083E-2</v>
      </c>
      <c r="P330" s="235">
        <f t="shared" si="942"/>
        <v>1.9742198524731445E-2</v>
      </c>
      <c r="Q330" s="235">
        <f t="shared" si="942"/>
        <v>2.1125997285932067E-2</v>
      </c>
      <c r="R330" s="235">
        <f t="shared" si="942"/>
        <v>2.6811810558699585E-2</v>
      </c>
      <c r="S330" s="235">
        <f t="shared" si="942"/>
        <v>2.9739274654909258E-2</v>
      </c>
      <c r="T330" s="235">
        <f t="shared" si="942"/>
        <v>3.4449789754423213E-2</v>
      </c>
      <c r="U330" s="235">
        <f t="shared" si="942"/>
        <v>3.4799363746274896E-2</v>
      </c>
      <c r="V330" s="235">
        <f t="shared" si="942"/>
        <v>3.9668174442158186E-2</v>
      </c>
      <c r="W330" s="235">
        <f t="shared" si="942"/>
        <v>3.9529808692423091E-2</v>
      </c>
      <c r="X330" s="235">
        <f t="shared" si="942"/>
        <v>3.6459556809848762E-2</v>
      </c>
      <c r="Y330" s="235">
        <f t="shared" si="942"/>
        <v>3.7554451710683605E-2</v>
      </c>
      <c r="Z330" s="235">
        <f t="shared" si="942"/>
        <v>3.7818177687382735E-2</v>
      </c>
      <c r="AA330" s="235">
        <f t="shared" si="942"/>
        <v>3.1244490224458476E-2</v>
      </c>
      <c r="AB330" s="235">
        <f t="shared" si="942"/>
        <v>2.8027023430636129E-2</v>
      </c>
      <c r="AC330" s="235">
        <f t="shared" si="942"/>
        <v>3.1559590912832142E-2</v>
      </c>
      <c r="AD330" s="235">
        <f t="shared" si="942"/>
        <v>2.7014646087908774E-2</v>
      </c>
      <c r="AE330" s="235">
        <f t="shared" si="942"/>
        <v>2.7382826930573981E-2</v>
      </c>
      <c r="AF330" s="235">
        <f t="shared" si="942"/>
        <v>2.7891733172963239E-2</v>
      </c>
      <c r="AG330" s="235">
        <f t="shared" si="942"/>
        <v>2.8178719804196738E-2</v>
      </c>
      <c r="AH330" s="235">
        <f t="shared" si="942"/>
        <v>2.5256410573752372E-2</v>
      </c>
      <c r="AI330" s="235">
        <f t="shared" si="942"/>
        <v>2.643389056464639E-2</v>
      </c>
      <c r="AJ330" s="235">
        <f t="shared" si="942"/>
        <v>2.5304823922202676E-2</v>
      </c>
      <c r="AK330" s="235">
        <f t="shared" si="942"/>
        <v>2.2468949550707051E-2</v>
      </c>
      <c r="AL330" s="235">
        <f t="shared" si="942"/>
        <v>2.0648304009710829E-2</v>
      </c>
      <c r="AM330" s="235">
        <f t="shared" si="942"/>
        <v>2.0648304009710829E-2</v>
      </c>
      <c r="AN330" s="235">
        <f t="shared" si="942"/>
        <v>1.8227919564428777E-2</v>
      </c>
      <c r="AO330" s="235">
        <f t="shared" si="942"/>
        <v>4.1329737973323448E-2</v>
      </c>
      <c r="AP330" s="235">
        <f t="shared" si="942"/>
        <v>1.5480883409015546E-2</v>
      </c>
      <c r="AQ330" s="235">
        <f t="shared" si="942"/>
        <v>1.5606117114550419E-2</v>
      </c>
      <c r="AR330" s="235">
        <f t="shared" si="942"/>
        <v>1.4368877487371692E-2</v>
      </c>
      <c r="AS330" s="235">
        <f t="shared" si="942"/>
        <v>1.4368877487371692E-2</v>
      </c>
      <c r="AT330" s="235">
        <f t="shared" si="942"/>
        <v>1.2504496002911571E-2</v>
      </c>
      <c r="AU330" s="235">
        <f t="shared" si="942"/>
        <v>1.1239853422737273E-2</v>
      </c>
      <c r="AV330" s="235">
        <f t="shared" si="942"/>
        <v>1.0307662680507214E-2</v>
      </c>
      <c r="AW330" s="235">
        <f t="shared" si="942"/>
        <v>1.0307662680507214E-2</v>
      </c>
      <c r="AX330" s="235">
        <f t="shared" si="942"/>
        <v>1.0307662680507214E-2</v>
      </c>
      <c r="AY330" s="235">
        <f t="shared" si="942"/>
        <v>1.0307662680507214E-2</v>
      </c>
      <c r="AZ330" s="235">
        <f t="shared" si="942"/>
        <v>9.375471938277152E-3</v>
      </c>
      <c r="BA330" s="235">
        <f t="shared" si="942"/>
        <v>9.375471938277152E-3</v>
      </c>
      <c r="BB330" s="235">
        <f t="shared" si="942"/>
        <v>8.1108293581028529E-3</v>
      </c>
      <c r="BC330" s="235">
        <f t="shared" si="942"/>
        <v>6.2464478736427324E-3</v>
      </c>
      <c r="BD330" s="235">
        <f t="shared" si="942"/>
        <v>6.2464478736427324E-3</v>
      </c>
      <c r="BE330" s="235">
        <f t="shared" si="942"/>
        <v>6.2464478736427324E-3</v>
      </c>
      <c r="BF330" s="235">
        <f t="shared" si="942"/>
        <v>6.2464478736427324E-3</v>
      </c>
      <c r="BG330" s="235">
        <f t="shared" si="942"/>
        <v>6.2464478736427324E-3</v>
      </c>
      <c r="BH330" s="235">
        <f t="shared" si="942"/>
        <v>6.2464478736427324E-3</v>
      </c>
      <c r="BI330" s="235">
        <f t="shared" si="942"/>
        <v>4.0554146790514264E-3</v>
      </c>
    </row>
    <row r="331" spans="1:61" s="144" customFormat="1" ht="18" customHeight="1" x14ac:dyDescent="0.25">
      <c r="A331" s="350"/>
      <c r="B331" s="351"/>
      <c r="C331" s="352" t="s">
        <v>171</v>
      </c>
      <c r="D331" s="353"/>
      <c r="E331" s="353"/>
      <c r="F331" s="353"/>
      <c r="G331" s="354"/>
      <c r="H331" s="355"/>
      <c r="I331" s="355"/>
      <c r="J331" s="356"/>
      <c r="K331" s="356"/>
      <c r="L331" s="235">
        <f>L330</f>
        <v>2.5328941231889481E-3</v>
      </c>
      <c r="M331" s="235">
        <f t="shared" ref="M331" si="943">M330+L331</f>
        <v>1.1617859416990433E-2</v>
      </c>
      <c r="N331" s="235">
        <f t="shared" ref="N331" si="944">N330+M331</f>
        <v>2.891837885700321E-2</v>
      </c>
      <c r="O331" s="235">
        <f t="shared" ref="O331" si="945">O330+N331</f>
        <v>4.893840791396404E-2</v>
      </c>
      <c r="P331" s="235">
        <f t="shared" ref="P331" si="946">P330+O331</f>
        <v>6.8680606438695488E-2</v>
      </c>
      <c r="Q331" s="235">
        <f t="shared" ref="Q331" si="947">Q330+P331</f>
        <v>8.9806603724627551E-2</v>
      </c>
      <c r="R331" s="235">
        <f t="shared" ref="R331" si="948">R330+Q331</f>
        <v>0.11661841428332714</v>
      </c>
      <c r="S331" s="235">
        <f t="shared" ref="S331" si="949">S330+R331</f>
        <v>0.14635768893823639</v>
      </c>
      <c r="T331" s="235">
        <f t="shared" ref="T331" si="950">T330+S331</f>
        <v>0.18080747869265962</v>
      </c>
      <c r="U331" s="235">
        <f t="shared" ref="U331" si="951">U330+T331</f>
        <v>0.21560684243893452</v>
      </c>
      <c r="V331" s="235">
        <f t="shared" ref="V331" si="952">V330+U331</f>
        <v>0.25527501688109272</v>
      </c>
      <c r="W331" s="235">
        <f t="shared" ref="W331" si="953">W330+V331</f>
        <v>0.29480482557351584</v>
      </c>
      <c r="X331" s="235">
        <f t="shared" ref="X331" si="954">X330+W331</f>
        <v>0.33126438238336459</v>
      </c>
      <c r="Y331" s="235">
        <f t="shared" ref="Y331" si="955">Y330+X331</f>
        <v>0.3688188340940482</v>
      </c>
      <c r="Z331" s="235">
        <f t="shared" ref="Z331" si="956">Z330+Y331</f>
        <v>0.40663701178143091</v>
      </c>
      <c r="AA331" s="235">
        <f t="shared" ref="AA331" si="957">AA330+Z331</f>
        <v>0.43788150200588938</v>
      </c>
      <c r="AB331" s="235">
        <f t="shared" ref="AB331" si="958">AB330+AA331</f>
        <v>0.4659085254365255</v>
      </c>
      <c r="AC331" s="235">
        <f t="shared" ref="AC331" si="959">AC330+AB331</f>
        <v>0.49746811634935761</v>
      </c>
      <c r="AD331" s="235">
        <f t="shared" ref="AD331" si="960">AD330+AC331</f>
        <v>0.52448276243726644</v>
      </c>
      <c r="AE331" s="235">
        <f t="shared" ref="AE331" si="961">AE330+AD331</f>
        <v>0.55186558936784047</v>
      </c>
      <c r="AF331" s="235">
        <f t="shared" ref="AF331" si="962">AF330+AE331</f>
        <v>0.5797573225408037</v>
      </c>
      <c r="AG331" s="235">
        <f t="shared" ref="AG331" si="963">AG330+AF331</f>
        <v>0.60793604234500043</v>
      </c>
      <c r="AH331" s="235">
        <f t="shared" ref="AH331" si="964">AH330+AG331</f>
        <v>0.63319245291875281</v>
      </c>
      <c r="AI331" s="235">
        <f t="shared" ref="AI331" si="965">AI330+AH331</f>
        <v>0.65962634348339921</v>
      </c>
      <c r="AJ331" s="235">
        <f t="shared" ref="AJ331" si="966">AJ330+AI331</f>
        <v>0.68493116740560189</v>
      </c>
      <c r="AK331" s="235">
        <f t="shared" ref="AK331" si="967">AK330+AJ331</f>
        <v>0.70740011695630889</v>
      </c>
      <c r="AL331" s="235">
        <f t="shared" ref="AL331" si="968">AL330+AK331</f>
        <v>0.72804842096601974</v>
      </c>
      <c r="AM331" s="235">
        <f t="shared" ref="AM331" si="969">AM330+AL331</f>
        <v>0.74869672497573059</v>
      </c>
      <c r="AN331" s="235">
        <f t="shared" ref="AN331" si="970">AN330+AM331</f>
        <v>0.76692464454015941</v>
      </c>
      <c r="AO331" s="235">
        <f t="shared" ref="AO331" si="971">AO330+AN331</f>
        <v>0.80825438251348281</v>
      </c>
      <c r="AP331" s="235">
        <f t="shared" ref="AP331" si="972">AP330+AO331</f>
        <v>0.82373526592249835</v>
      </c>
      <c r="AQ331" s="235">
        <f t="shared" ref="AQ331" si="973">AQ330+AP331</f>
        <v>0.83934138303704875</v>
      </c>
      <c r="AR331" s="235">
        <f t="shared" ref="AR331" si="974">AR330+AQ331</f>
        <v>0.85371026052442045</v>
      </c>
      <c r="AS331" s="235">
        <f t="shared" ref="AS331" si="975">AS330+AR331</f>
        <v>0.86807913801179215</v>
      </c>
      <c r="AT331" s="235">
        <f t="shared" ref="AT331" si="976">AT330+AS331</f>
        <v>0.88058363401470374</v>
      </c>
      <c r="AU331" s="235">
        <f t="shared" ref="AU331" si="977">AU330+AT331</f>
        <v>0.891823487437441</v>
      </c>
      <c r="AV331" s="235">
        <f t="shared" ref="AV331" si="978">AV330+AU331</f>
        <v>0.9021311501179482</v>
      </c>
      <c r="AW331" s="235">
        <f t="shared" ref="AW331" si="979">AW330+AV331</f>
        <v>0.9124388127984554</v>
      </c>
      <c r="AX331" s="235">
        <f t="shared" ref="AX331" si="980">AX330+AW331</f>
        <v>0.9227464754789626</v>
      </c>
      <c r="AY331" s="235">
        <f t="shared" ref="AY331" si="981">AY330+AX331</f>
        <v>0.9330541381594698</v>
      </c>
      <c r="AZ331" s="235">
        <f t="shared" ref="AZ331" si="982">AZ330+AY331</f>
        <v>0.94242961009774695</v>
      </c>
      <c r="BA331" s="235">
        <f t="shared" ref="BA331" si="983">BA330+AZ331</f>
        <v>0.9518050820360241</v>
      </c>
      <c r="BB331" s="235">
        <f t="shared" ref="BB331" si="984">BB330+BA331</f>
        <v>0.95991591139412691</v>
      </c>
      <c r="BC331" s="235">
        <f t="shared" ref="BC331" si="985">BC330+BB331</f>
        <v>0.96616235926776961</v>
      </c>
      <c r="BD331" s="235">
        <f t="shared" ref="BD331" si="986">BD330+BC331</f>
        <v>0.97240880714141231</v>
      </c>
      <c r="BE331" s="235">
        <f t="shared" ref="BE331" si="987">BE330+BD331</f>
        <v>0.97865525501505501</v>
      </c>
      <c r="BF331" s="235">
        <f t="shared" ref="BF331" si="988">BF330+BE331</f>
        <v>0.98490170288869772</v>
      </c>
      <c r="BG331" s="235">
        <f t="shared" ref="BG331" si="989">BG330+BF331</f>
        <v>0.99114815076234042</v>
      </c>
      <c r="BH331" s="235">
        <f t="shared" ref="BH331" si="990">BH330+BG331</f>
        <v>0.99739459863598312</v>
      </c>
      <c r="BI331" s="235">
        <f t="shared" ref="BI331" si="991">BI330+BH331</f>
        <v>1.0014500133150346</v>
      </c>
    </row>
    <row r="332" spans="1:61" s="140" customFormat="1" ht="10.199999999999999" x14ac:dyDescent="0.25">
      <c r="I332" s="145"/>
      <c r="J332" s="145"/>
      <c r="K332" s="145"/>
      <c r="L332" s="146"/>
      <c r="M332" s="146"/>
      <c r="N332" s="146"/>
      <c r="O332" s="146"/>
      <c r="P332" s="146"/>
      <c r="Q332" s="146"/>
      <c r="R332" s="146"/>
      <c r="S332" s="146"/>
      <c r="T332" s="139"/>
      <c r="U332" s="139"/>
      <c r="V332" s="139"/>
      <c r="W332" s="139"/>
      <c r="X332" s="139"/>
      <c r="Y332" s="139"/>
      <c r="Z332" s="139"/>
      <c r="AA332" s="139"/>
      <c r="AB332" s="139"/>
      <c r="AC332" s="139"/>
      <c r="AD332" s="139"/>
      <c r="AE332" s="139"/>
      <c r="AF332" s="139"/>
      <c r="AG332" s="139"/>
      <c r="AH332" s="139"/>
      <c r="AI332" s="139"/>
      <c r="AJ332" s="139"/>
      <c r="AK332" s="139"/>
      <c r="AL332" s="139"/>
      <c r="AM332" s="139"/>
      <c r="AN332" s="139"/>
      <c r="AO332" s="139"/>
      <c r="AP332" s="139"/>
      <c r="AQ332" s="139"/>
      <c r="AR332" s="139"/>
      <c r="AS332" s="139"/>
      <c r="AT332" s="139"/>
      <c r="AU332" s="139"/>
      <c r="AV332" s="139"/>
      <c r="AW332" s="139"/>
      <c r="AX332" s="139"/>
      <c r="AY332" s="139"/>
      <c r="AZ332" s="139"/>
      <c r="BA332" s="139"/>
      <c r="BB332" s="139"/>
      <c r="BC332" s="139"/>
      <c r="BD332" s="139"/>
      <c r="BE332" s="139"/>
      <c r="BF332" s="139"/>
      <c r="BG332" s="139"/>
      <c r="BH332" s="139"/>
      <c r="BI332" s="139"/>
    </row>
    <row r="333" spans="1:61" s="140" customFormat="1" ht="10.199999999999999" x14ac:dyDescent="0.25">
      <c r="I333" s="145"/>
      <c r="J333" s="145"/>
      <c r="K333" s="145"/>
      <c r="L333" s="146"/>
      <c r="M333" s="146"/>
      <c r="N333" s="146"/>
      <c r="O333" s="146"/>
      <c r="P333" s="146"/>
      <c r="Q333" s="146"/>
      <c r="R333" s="146"/>
      <c r="S333" s="146"/>
      <c r="T333" s="139"/>
      <c r="U333" s="139"/>
      <c r="V333" s="139"/>
      <c r="W333" s="139"/>
      <c r="X333" s="139"/>
      <c r="Y333" s="139"/>
      <c r="Z333" s="139"/>
      <c r="AA333" s="139"/>
      <c r="AB333" s="139"/>
      <c r="AC333" s="139"/>
      <c r="AD333" s="139"/>
      <c r="AE333" s="139"/>
      <c r="AF333" s="139"/>
      <c r="AG333" s="139"/>
      <c r="AH333" s="139"/>
      <c r="AI333" s="139"/>
      <c r="AJ333" s="139"/>
      <c r="AK333" s="139"/>
      <c r="AL333" s="139"/>
      <c r="AM333" s="139"/>
      <c r="AN333" s="139"/>
      <c r="AO333" s="139"/>
      <c r="AP333" s="139"/>
      <c r="AQ333" s="139"/>
      <c r="AR333" s="139"/>
      <c r="AS333" s="139"/>
      <c r="AT333" s="139"/>
      <c r="AU333" s="139"/>
      <c r="AV333" s="139"/>
      <c r="AW333" s="139"/>
      <c r="AX333" s="139"/>
      <c r="AY333" s="139"/>
      <c r="AZ333" s="139"/>
      <c r="BA333" s="139"/>
      <c r="BB333" s="139"/>
      <c r="BC333" s="139"/>
      <c r="BD333" s="139"/>
      <c r="BE333" s="139"/>
      <c r="BF333" s="139"/>
      <c r="BG333" s="139"/>
      <c r="BH333" s="139"/>
      <c r="BI333" s="139"/>
    </row>
    <row r="334" spans="1:61" s="140" customFormat="1" ht="13.2" x14ac:dyDescent="0.25">
      <c r="C334" s="237" t="s">
        <v>238</v>
      </c>
      <c r="I334" s="145"/>
      <c r="J334" s="145"/>
      <c r="K334" s="145"/>
      <c r="L334" s="146"/>
      <c r="M334" s="146"/>
      <c r="N334" s="146"/>
      <c r="O334" s="146"/>
      <c r="P334" s="146"/>
      <c r="Q334" s="146"/>
      <c r="R334" s="146"/>
      <c r="S334" s="146"/>
      <c r="T334" s="139"/>
      <c r="U334" s="139"/>
      <c r="V334" s="139"/>
      <c r="W334" s="139"/>
      <c r="X334" s="139"/>
      <c r="Y334" s="139"/>
      <c r="Z334" s="139"/>
      <c r="AA334" s="139"/>
      <c r="AB334" s="139"/>
      <c r="AC334" s="139"/>
      <c r="AD334" s="139"/>
      <c r="AE334" s="139"/>
      <c r="AF334" s="139"/>
      <c r="AG334" s="139"/>
      <c r="AH334" s="139"/>
      <c r="AI334" s="139"/>
      <c r="AJ334" s="139"/>
      <c r="AK334" s="139"/>
      <c r="AL334" s="139"/>
      <c r="AM334" s="139"/>
      <c r="AN334" s="139"/>
      <c r="AO334" s="139"/>
      <c r="AP334" s="139"/>
      <c r="AQ334" s="139"/>
      <c r="AR334" s="139"/>
      <c r="AS334" s="139"/>
      <c r="AT334" s="139"/>
      <c r="AU334" s="139"/>
      <c r="AV334" s="139"/>
      <c r="AW334" s="139"/>
      <c r="AX334" s="139"/>
      <c r="AY334" s="139"/>
      <c r="AZ334" s="139"/>
      <c r="BA334" s="139"/>
      <c r="BB334" s="139"/>
      <c r="BC334" s="139"/>
      <c r="BD334" s="139"/>
      <c r="BE334" s="139"/>
      <c r="BF334" s="139"/>
      <c r="BG334" s="139"/>
      <c r="BH334" s="139"/>
      <c r="BI334" s="139"/>
    </row>
    <row r="335" spans="1:61" s="140" customFormat="1" ht="10.199999999999999" x14ac:dyDescent="0.25">
      <c r="I335" s="145"/>
      <c r="J335" s="145"/>
      <c r="K335" s="145"/>
      <c r="L335" s="146"/>
      <c r="M335" s="146"/>
      <c r="N335" s="146"/>
      <c r="O335" s="146"/>
      <c r="P335" s="146"/>
      <c r="Q335" s="146"/>
      <c r="R335" s="146"/>
      <c r="S335" s="146"/>
      <c r="T335" s="139"/>
      <c r="U335" s="139"/>
      <c r="V335" s="139"/>
      <c r="W335" s="139"/>
      <c r="X335" s="139"/>
      <c r="Y335" s="139"/>
      <c r="Z335" s="139"/>
      <c r="AA335" s="139"/>
      <c r="AB335" s="139"/>
      <c r="AC335" s="139"/>
      <c r="AD335" s="139"/>
      <c r="AE335" s="139"/>
      <c r="AF335" s="139"/>
      <c r="AG335" s="139"/>
      <c r="AH335" s="139"/>
      <c r="AI335" s="139"/>
      <c r="AJ335" s="139"/>
      <c r="AK335" s="139"/>
      <c r="AL335" s="139"/>
      <c r="AM335" s="139"/>
      <c r="AN335" s="139"/>
      <c r="AO335" s="139"/>
      <c r="AP335" s="139"/>
      <c r="AQ335" s="139"/>
      <c r="AR335" s="139"/>
      <c r="AS335" s="139"/>
      <c r="AT335" s="139"/>
      <c r="AU335" s="139"/>
      <c r="AV335" s="139"/>
      <c r="AW335" s="139"/>
      <c r="AX335" s="139"/>
      <c r="AY335" s="139"/>
      <c r="AZ335" s="139"/>
      <c r="BA335" s="139"/>
      <c r="BB335" s="139"/>
      <c r="BC335" s="139"/>
      <c r="BD335" s="139"/>
      <c r="BE335" s="139"/>
      <c r="BF335" s="139"/>
      <c r="BG335" s="139"/>
      <c r="BH335" s="139"/>
      <c r="BI335" s="139"/>
    </row>
    <row r="336" spans="1:61" s="166" customFormat="1" ht="12" x14ac:dyDescent="0.2">
      <c r="B336" s="177"/>
      <c r="C336" s="167" t="s">
        <v>217</v>
      </c>
      <c r="D336" s="167" t="s">
        <v>204</v>
      </c>
      <c r="E336" s="167" t="s">
        <v>203</v>
      </c>
      <c r="F336" s="167" t="s">
        <v>221</v>
      </c>
    </row>
    <row r="337" spans="2:31" s="166" customFormat="1" ht="12" x14ac:dyDescent="0.25">
      <c r="B337" s="178"/>
      <c r="C337" s="168" t="s">
        <v>205</v>
      </c>
      <c r="D337" s="169">
        <v>7000</v>
      </c>
      <c r="E337" s="169">
        <f>E339*0.9</f>
        <v>2717.6926499999995</v>
      </c>
      <c r="F337" s="168" t="s">
        <v>212</v>
      </c>
      <c r="G337" s="175"/>
      <c r="H337" s="175">
        <f>2625.79*1.1</f>
        <v>2888.3690000000001</v>
      </c>
      <c r="I337" s="175"/>
    </row>
    <row r="338" spans="2:31" s="166" customFormat="1" ht="12" x14ac:dyDescent="0.25">
      <c r="B338" s="178"/>
      <c r="C338" s="168" t="s">
        <v>210</v>
      </c>
      <c r="D338" s="169">
        <v>8000</v>
      </c>
      <c r="E338" s="169">
        <f>E339*0.93</f>
        <v>2808.2824049999999</v>
      </c>
      <c r="F338" s="168" t="s">
        <v>214</v>
      </c>
      <c r="G338" s="175"/>
      <c r="H338" s="175"/>
      <c r="I338" s="175"/>
      <c r="AE338" s="333">
        <f>AE329*3%*0.6</f>
        <v>95753829.864320233</v>
      </c>
    </row>
    <row r="339" spans="2:31" s="166" customFormat="1" ht="12" x14ac:dyDescent="0.25">
      <c r="B339" s="178"/>
      <c r="C339" s="168" t="s">
        <v>225</v>
      </c>
      <c r="D339" s="169">
        <v>9000</v>
      </c>
      <c r="E339" s="169">
        <f>2625.79*1.15</f>
        <v>3019.6584999999995</v>
      </c>
      <c r="F339" s="168" t="s">
        <v>213</v>
      </c>
      <c r="G339" s="175"/>
      <c r="H339" s="175"/>
      <c r="I339" s="175"/>
      <c r="AE339" s="333">
        <f>AE324*2%</f>
        <v>135947429.23365301</v>
      </c>
    </row>
    <row r="340" spans="2:31" s="166" customFormat="1" ht="12" x14ac:dyDescent="0.25">
      <c r="B340" s="178"/>
      <c r="C340" s="168" t="s">
        <v>208</v>
      </c>
      <c r="D340" s="169">
        <v>9500</v>
      </c>
      <c r="E340" s="169">
        <f>E339*1.3</f>
        <v>3925.5560499999997</v>
      </c>
      <c r="F340" s="168" t="s">
        <v>215</v>
      </c>
      <c r="G340" s="175"/>
      <c r="H340" s="175"/>
      <c r="I340" s="175"/>
    </row>
    <row r="341" spans="2:31" s="166" customFormat="1" ht="12" x14ac:dyDescent="0.25">
      <c r="B341" s="178"/>
      <c r="C341" s="168" t="s">
        <v>209</v>
      </c>
      <c r="D341" s="169">
        <v>10000</v>
      </c>
      <c r="E341" s="169">
        <f>E340*1.05</f>
        <v>4121.8338524999999</v>
      </c>
      <c r="F341" s="168" t="s">
        <v>216</v>
      </c>
      <c r="G341" s="175"/>
      <c r="H341" s="175"/>
      <c r="I341" s="175"/>
    </row>
    <row r="342" spans="2:31" s="166" customFormat="1" ht="12" x14ac:dyDescent="0.25">
      <c r="B342" s="178"/>
      <c r="C342" s="168" t="s">
        <v>235</v>
      </c>
      <c r="D342" s="169">
        <v>14000</v>
      </c>
      <c r="E342" s="169">
        <v>4600</v>
      </c>
      <c r="F342" s="168"/>
      <c r="G342" s="175"/>
      <c r="H342" s="175"/>
      <c r="I342" s="175"/>
    </row>
    <row r="343" spans="2:31" s="166" customFormat="1" ht="12" x14ac:dyDescent="0.25">
      <c r="B343" s="178"/>
      <c r="C343" s="168" t="s">
        <v>218</v>
      </c>
      <c r="D343" s="169">
        <v>1200</v>
      </c>
      <c r="E343" s="169">
        <v>250</v>
      </c>
      <c r="F343" s="168"/>
      <c r="G343" s="175"/>
      <c r="H343" s="175"/>
      <c r="I343" s="175"/>
    </row>
    <row r="344" spans="2:31" s="166" customFormat="1" ht="12" x14ac:dyDescent="0.25">
      <c r="B344" s="178"/>
      <c r="C344" s="168" t="s">
        <v>211</v>
      </c>
      <c r="D344" s="169">
        <v>2300</v>
      </c>
      <c r="E344" s="169">
        <v>450</v>
      </c>
      <c r="F344" s="168"/>
      <c r="G344" s="175"/>
      <c r="H344" s="175"/>
      <c r="I344" s="175"/>
    </row>
    <row r="345" spans="2:31" s="166" customFormat="1" ht="12" x14ac:dyDescent="0.25">
      <c r="B345" s="178"/>
      <c r="C345" s="168" t="s">
        <v>229</v>
      </c>
      <c r="D345" s="169"/>
      <c r="E345" s="169">
        <f>6377.42657563517*1.1</f>
        <v>7015.1692331986869</v>
      </c>
      <c r="F345" s="211">
        <f>Empreendimentos!K42*0.6</f>
        <v>371.94302884615382</v>
      </c>
      <c r="G345" s="175"/>
      <c r="H345" s="175"/>
      <c r="I345" s="175"/>
    </row>
    <row r="346" spans="2:31" s="166" customFormat="1" ht="12" x14ac:dyDescent="0.25">
      <c r="B346" s="178"/>
      <c r="C346" s="168" t="s">
        <v>17</v>
      </c>
      <c r="D346" s="169">
        <v>10000</v>
      </c>
      <c r="E346" s="169">
        <v>3900</v>
      </c>
      <c r="F346" s="211"/>
      <c r="G346" s="175"/>
      <c r="H346" s="175"/>
      <c r="I346" s="175"/>
    </row>
    <row r="347" spans="2:31" s="166" customFormat="1" ht="12" x14ac:dyDescent="0.25">
      <c r="B347" s="178"/>
      <c r="C347" s="168" t="s">
        <v>237</v>
      </c>
      <c r="D347" s="169"/>
      <c r="E347" s="169">
        <v>4500</v>
      </c>
      <c r="F347" s="211"/>
      <c r="G347" s="175"/>
      <c r="H347" s="175"/>
      <c r="I347" s="175"/>
    </row>
    <row r="348" spans="2:31" s="166" customFormat="1" ht="12" x14ac:dyDescent="0.25">
      <c r="B348" s="178"/>
      <c r="C348" s="168" t="s">
        <v>234</v>
      </c>
      <c r="D348" s="169"/>
      <c r="E348" s="169">
        <v>3450</v>
      </c>
      <c r="F348" s="211"/>
      <c r="G348" s="175"/>
      <c r="H348" s="175"/>
      <c r="I348" s="175"/>
    </row>
    <row r="349" spans="2:31" s="166" customFormat="1" ht="12" x14ac:dyDescent="0.25">
      <c r="B349" s="178"/>
      <c r="C349" s="168" t="s">
        <v>248</v>
      </c>
      <c r="D349" s="169"/>
      <c r="E349" s="169">
        <v>60</v>
      </c>
      <c r="F349" s="211"/>
      <c r="G349" s="175"/>
      <c r="H349" s="175"/>
      <c r="I349" s="175"/>
    </row>
    <row r="350" spans="2:31" s="166" customFormat="1" ht="12" x14ac:dyDescent="0.25">
      <c r="B350" s="178"/>
      <c r="C350" s="168" t="s">
        <v>260</v>
      </c>
      <c r="D350" s="169"/>
      <c r="E350" s="169">
        <v>250</v>
      </c>
      <c r="F350" s="211"/>
      <c r="G350" s="175"/>
      <c r="H350" s="175"/>
      <c r="I350" s="175"/>
    </row>
    <row r="351" spans="2:31" s="166" customFormat="1" ht="12" x14ac:dyDescent="0.25">
      <c r="B351" s="178"/>
      <c r="C351" s="168" t="s">
        <v>227</v>
      </c>
      <c r="D351" s="169"/>
      <c r="E351" s="169">
        <v>160</v>
      </c>
      <c r="F351" s="168"/>
      <c r="G351" s="175"/>
      <c r="H351" s="175"/>
      <c r="I351" s="175"/>
    </row>
    <row r="352" spans="2:31" s="166" customFormat="1" ht="12" x14ac:dyDescent="0.25">
      <c r="B352" s="178"/>
      <c r="C352" s="175"/>
      <c r="D352" s="175"/>
      <c r="E352" s="175"/>
      <c r="F352" s="175"/>
      <c r="G352" s="175"/>
      <c r="H352" s="175"/>
      <c r="I352" s="175"/>
    </row>
    <row r="353" spans="2:60" s="166" customFormat="1" ht="12" x14ac:dyDescent="0.25">
      <c r="B353" s="178"/>
      <c r="C353" s="175"/>
      <c r="D353" s="175"/>
      <c r="E353" s="175"/>
      <c r="F353" s="175"/>
      <c r="G353" s="175"/>
      <c r="H353" s="175"/>
      <c r="I353" s="175"/>
    </row>
    <row r="354" spans="2:60" s="166" customFormat="1" ht="12" x14ac:dyDescent="0.25">
      <c r="B354" s="178"/>
      <c r="C354" s="175"/>
      <c r="D354" s="175"/>
      <c r="E354" s="175"/>
      <c r="F354" s="175"/>
      <c r="G354" s="175"/>
      <c r="H354" s="175"/>
      <c r="I354" s="175"/>
    </row>
    <row r="355" spans="2:60" s="166" customFormat="1" ht="12" x14ac:dyDescent="0.25">
      <c r="B355" s="178"/>
      <c r="C355" s="175"/>
      <c r="D355" s="175"/>
      <c r="E355" s="175"/>
      <c r="F355" s="175"/>
      <c r="G355" s="175"/>
      <c r="H355" s="175"/>
      <c r="I355" s="175"/>
    </row>
    <row r="356" spans="2:60" s="166" customFormat="1" ht="12" x14ac:dyDescent="0.25">
      <c r="B356" s="178"/>
      <c r="C356" s="175"/>
      <c r="D356" s="175"/>
      <c r="E356" s="175"/>
      <c r="F356" s="175"/>
      <c r="G356" s="175"/>
      <c r="H356" s="175"/>
      <c r="I356" s="175"/>
    </row>
    <row r="357" spans="2:60" s="166" customFormat="1" ht="12" x14ac:dyDescent="0.25">
      <c r="B357" s="178"/>
      <c r="C357" s="175"/>
      <c r="D357" s="175"/>
      <c r="E357" s="175"/>
      <c r="F357" s="175"/>
      <c r="G357" s="175"/>
      <c r="H357" s="175"/>
      <c r="I357" s="175"/>
    </row>
    <row r="358" spans="2:60" s="166" customFormat="1" ht="12" x14ac:dyDescent="0.25">
      <c r="B358" s="178"/>
      <c r="C358" s="175"/>
      <c r="D358" s="175"/>
      <c r="E358" s="175"/>
      <c r="F358" s="175"/>
      <c r="G358" s="175"/>
      <c r="H358" s="175"/>
      <c r="I358" s="175"/>
    </row>
    <row r="359" spans="2:60" s="166" customFormat="1" ht="12" x14ac:dyDescent="0.25">
      <c r="B359" s="178"/>
      <c r="C359" s="194"/>
      <c r="D359" s="194"/>
      <c r="E359" s="194"/>
      <c r="F359" s="194"/>
      <c r="G359" s="194"/>
      <c r="H359" s="175"/>
      <c r="I359" s="175"/>
    </row>
    <row r="360" spans="2:60" s="166" customFormat="1" ht="11.4" x14ac:dyDescent="0.2">
      <c r="B360" s="195"/>
      <c r="C360" s="176"/>
      <c r="D360" s="176"/>
      <c r="E360" s="176"/>
      <c r="F360" s="176"/>
      <c r="G360" s="176"/>
      <c r="H360" s="176"/>
      <c r="I360" s="176"/>
    </row>
    <row r="361" spans="2:60" s="166" customFormat="1" ht="12" x14ac:dyDescent="0.25">
      <c r="B361" s="195"/>
      <c r="C361" s="176"/>
      <c r="D361" s="176"/>
      <c r="E361" s="176"/>
      <c r="F361" s="176"/>
      <c r="G361" s="176"/>
      <c r="H361" s="176"/>
      <c r="I361" s="176"/>
      <c r="V361" s="196"/>
      <c r="AH361" s="196"/>
      <c r="AI361" s="196"/>
      <c r="AJ361" s="196"/>
      <c r="AK361" s="196"/>
      <c r="AL361" s="196"/>
      <c r="AM361" s="196"/>
      <c r="AN361" s="196"/>
      <c r="AO361" s="196"/>
      <c r="AP361" s="196"/>
      <c r="AQ361" s="196"/>
      <c r="AR361" s="196"/>
      <c r="AS361" s="196"/>
      <c r="AT361" s="196"/>
      <c r="AU361" s="196"/>
      <c r="AV361" s="196"/>
      <c r="AW361" s="196"/>
      <c r="AX361" s="196"/>
      <c r="AY361" s="196"/>
      <c r="AZ361" s="196"/>
      <c r="BA361" s="196"/>
      <c r="BB361" s="196"/>
      <c r="BC361" s="196"/>
      <c r="BD361" s="196"/>
      <c r="BE361" s="196"/>
      <c r="BF361" s="196"/>
      <c r="BG361" s="196"/>
      <c r="BH361" s="196"/>
    </row>
    <row r="362" spans="2:60" s="166" customFormat="1" ht="12" x14ac:dyDescent="0.25">
      <c r="V362" s="196"/>
      <c r="AH362" s="196"/>
      <c r="AI362" s="196"/>
      <c r="AJ362" s="196"/>
      <c r="AK362" s="196"/>
      <c r="AL362" s="196"/>
      <c r="AM362" s="196"/>
      <c r="AN362" s="196"/>
      <c r="AO362" s="196"/>
      <c r="AP362" s="196"/>
      <c r="AQ362" s="196"/>
      <c r="AR362" s="196"/>
      <c r="AS362" s="196"/>
      <c r="AT362" s="196"/>
      <c r="AU362" s="196"/>
      <c r="AV362" s="196"/>
      <c r="AW362" s="196"/>
      <c r="AX362" s="196"/>
      <c r="AY362" s="196"/>
      <c r="AZ362" s="196"/>
      <c r="BA362" s="196"/>
      <c r="BB362" s="196"/>
      <c r="BC362" s="196"/>
      <c r="BD362" s="196"/>
      <c r="BE362" s="196"/>
      <c r="BF362" s="196"/>
      <c r="BG362" s="196"/>
      <c r="BH362" s="196"/>
    </row>
    <row r="363" spans="2:60" s="166" customFormat="1" ht="11.4" x14ac:dyDescent="0.2"/>
    <row r="364" spans="2:60" s="166" customFormat="1" ht="11.4" x14ac:dyDescent="0.2"/>
    <row r="365" spans="2:60" s="166" customFormat="1" ht="11.4" x14ac:dyDescent="0.2"/>
  </sheetData>
  <mergeCells count="222">
    <mergeCell ref="A283:B286"/>
    <mergeCell ref="C283:G283"/>
    <mergeCell ref="H283:H286"/>
    <mergeCell ref="I283:I286"/>
    <mergeCell ref="J283:J286"/>
    <mergeCell ref="K283:K286"/>
    <mergeCell ref="C284:G284"/>
    <mergeCell ref="C285:G285"/>
    <mergeCell ref="C286:G286"/>
    <mergeCell ref="A278:B281"/>
    <mergeCell ref="C278:G278"/>
    <mergeCell ref="H278:H281"/>
    <mergeCell ref="I278:I281"/>
    <mergeCell ref="J278:J281"/>
    <mergeCell ref="K278:K281"/>
    <mergeCell ref="C279:G279"/>
    <mergeCell ref="C280:G280"/>
    <mergeCell ref="C281:G281"/>
    <mergeCell ref="K214:K217"/>
    <mergeCell ref="C215:G215"/>
    <mergeCell ref="C216:G216"/>
    <mergeCell ref="C217:G217"/>
    <mergeCell ref="A214:B217"/>
    <mergeCell ref="C214:G214"/>
    <mergeCell ref="H214:H217"/>
    <mergeCell ref="I214:I217"/>
    <mergeCell ref="J214:J217"/>
    <mergeCell ref="K181:K184"/>
    <mergeCell ref="C182:G182"/>
    <mergeCell ref="C183:G183"/>
    <mergeCell ref="C184:G184"/>
    <mergeCell ref="A209:B212"/>
    <mergeCell ref="C209:G209"/>
    <mergeCell ref="H209:H212"/>
    <mergeCell ref="I209:I212"/>
    <mergeCell ref="J209:J212"/>
    <mergeCell ref="K209:K212"/>
    <mergeCell ref="C210:G210"/>
    <mergeCell ref="C211:G211"/>
    <mergeCell ref="C212:G212"/>
    <mergeCell ref="A181:B184"/>
    <mergeCell ref="C181:G181"/>
    <mergeCell ref="H181:H184"/>
    <mergeCell ref="I181:I184"/>
    <mergeCell ref="J181:J184"/>
    <mergeCell ref="I176:I179"/>
    <mergeCell ref="J176:J179"/>
    <mergeCell ref="K176:K179"/>
    <mergeCell ref="C177:G177"/>
    <mergeCell ref="C178:G178"/>
    <mergeCell ref="C179:G179"/>
    <mergeCell ref="A140:B143"/>
    <mergeCell ref="C140:G140"/>
    <mergeCell ref="H140:H143"/>
    <mergeCell ref="I140:I143"/>
    <mergeCell ref="J140:J143"/>
    <mergeCell ref="A83:B86"/>
    <mergeCell ref="C83:G83"/>
    <mergeCell ref="H83:H86"/>
    <mergeCell ref="A135:B138"/>
    <mergeCell ref="C135:G135"/>
    <mergeCell ref="H135:H138"/>
    <mergeCell ref="J88:J91"/>
    <mergeCell ref="K88:K91"/>
    <mergeCell ref="C89:G89"/>
    <mergeCell ref="C90:G90"/>
    <mergeCell ref="C91:G91"/>
    <mergeCell ref="K118:K121"/>
    <mergeCell ref="C120:G120"/>
    <mergeCell ref="C121:G121"/>
    <mergeCell ref="A123:B126"/>
    <mergeCell ref="C123:G123"/>
    <mergeCell ref="H123:H126"/>
    <mergeCell ref="I123:I126"/>
    <mergeCell ref="J123:J126"/>
    <mergeCell ref="K123:K126"/>
    <mergeCell ref="C124:G124"/>
    <mergeCell ref="C125:G125"/>
    <mergeCell ref="C126:G126"/>
    <mergeCell ref="A118:B121"/>
    <mergeCell ref="K47:K50"/>
    <mergeCell ref="K42:K45"/>
    <mergeCell ref="K83:K86"/>
    <mergeCell ref="C84:G84"/>
    <mergeCell ref="C85:G85"/>
    <mergeCell ref="C86:G86"/>
    <mergeCell ref="J8:K8"/>
    <mergeCell ref="C44:G44"/>
    <mergeCell ref="C45:G45"/>
    <mergeCell ref="I42:I45"/>
    <mergeCell ref="J42:J45"/>
    <mergeCell ref="D8:D9"/>
    <mergeCell ref="H8:I8"/>
    <mergeCell ref="A42:B45"/>
    <mergeCell ref="C42:G42"/>
    <mergeCell ref="E8:G8"/>
    <mergeCell ref="C8:C9"/>
    <mergeCell ref="H42:H45"/>
    <mergeCell ref="A8:B9"/>
    <mergeCell ref="C43:G43"/>
    <mergeCell ref="I118:I121"/>
    <mergeCell ref="J118:J121"/>
    <mergeCell ref="A47:B50"/>
    <mergeCell ref="C47:G47"/>
    <mergeCell ref="C48:G48"/>
    <mergeCell ref="C49:G49"/>
    <mergeCell ref="C50:G50"/>
    <mergeCell ref="I83:I86"/>
    <mergeCell ref="J83:J86"/>
    <mergeCell ref="H47:H50"/>
    <mergeCell ref="I47:I50"/>
    <mergeCell ref="J47:J50"/>
    <mergeCell ref="A88:B91"/>
    <mergeCell ref="C88:G88"/>
    <mergeCell ref="H88:H91"/>
    <mergeCell ref="I88:I91"/>
    <mergeCell ref="C119:G119"/>
    <mergeCell ref="C118:G118"/>
    <mergeCell ref="H118:H121"/>
    <mergeCell ref="A225:B228"/>
    <mergeCell ref="C225:G225"/>
    <mergeCell ref="H225:H228"/>
    <mergeCell ref="I225:I228"/>
    <mergeCell ref="J225:J228"/>
    <mergeCell ref="K225:K228"/>
    <mergeCell ref="C226:G226"/>
    <mergeCell ref="C227:G227"/>
    <mergeCell ref="C228:G228"/>
    <mergeCell ref="I135:I138"/>
    <mergeCell ref="J135:J138"/>
    <mergeCell ref="K135:K138"/>
    <mergeCell ref="C136:G136"/>
    <mergeCell ref="C137:G137"/>
    <mergeCell ref="C138:G138"/>
    <mergeCell ref="K140:K143"/>
    <mergeCell ref="C141:G141"/>
    <mergeCell ref="C142:G142"/>
    <mergeCell ref="C143:G143"/>
    <mergeCell ref="A176:B179"/>
    <mergeCell ref="C176:G176"/>
    <mergeCell ref="H176:H179"/>
    <mergeCell ref="A230:B233"/>
    <mergeCell ref="C230:G230"/>
    <mergeCell ref="H230:H233"/>
    <mergeCell ref="I230:I233"/>
    <mergeCell ref="J230:J233"/>
    <mergeCell ref="K230:K233"/>
    <mergeCell ref="C231:G231"/>
    <mergeCell ref="C232:G232"/>
    <mergeCell ref="C233:G233"/>
    <mergeCell ref="A258:B261"/>
    <mergeCell ref="C258:G258"/>
    <mergeCell ref="H258:H261"/>
    <mergeCell ref="I258:I261"/>
    <mergeCell ref="J258:J261"/>
    <mergeCell ref="K258:K261"/>
    <mergeCell ref="C259:G259"/>
    <mergeCell ref="C260:G260"/>
    <mergeCell ref="C261:G261"/>
    <mergeCell ref="A263:B266"/>
    <mergeCell ref="C263:G263"/>
    <mergeCell ref="H263:H266"/>
    <mergeCell ref="I263:I266"/>
    <mergeCell ref="J263:J266"/>
    <mergeCell ref="K263:K266"/>
    <mergeCell ref="C264:G264"/>
    <mergeCell ref="C265:G265"/>
    <mergeCell ref="C266:G266"/>
    <mergeCell ref="A295:B298"/>
    <mergeCell ref="C295:G295"/>
    <mergeCell ref="H295:H298"/>
    <mergeCell ref="I295:I298"/>
    <mergeCell ref="J295:J298"/>
    <mergeCell ref="K295:K298"/>
    <mergeCell ref="C296:G296"/>
    <mergeCell ref="C297:G297"/>
    <mergeCell ref="C298:G298"/>
    <mergeCell ref="A300:B303"/>
    <mergeCell ref="C300:G300"/>
    <mergeCell ref="H300:H303"/>
    <mergeCell ref="I300:I303"/>
    <mergeCell ref="J300:J303"/>
    <mergeCell ref="K300:K303"/>
    <mergeCell ref="C301:G301"/>
    <mergeCell ref="C302:G302"/>
    <mergeCell ref="C303:G303"/>
    <mergeCell ref="A312:B315"/>
    <mergeCell ref="C312:G312"/>
    <mergeCell ref="H312:H315"/>
    <mergeCell ref="I312:I315"/>
    <mergeCell ref="J312:J315"/>
    <mergeCell ref="K312:K315"/>
    <mergeCell ref="C313:G313"/>
    <mergeCell ref="C314:G314"/>
    <mergeCell ref="C315:G315"/>
    <mergeCell ref="A317:B320"/>
    <mergeCell ref="C317:G317"/>
    <mergeCell ref="H317:H320"/>
    <mergeCell ref="I317:I320"/>
    <mergeCell ref="J317:J320"/>
    <mergeCell ref="K317:K320"/>
    <mergeCell ref="C318:G318"/>
    <mergeCell ref="C319:G319"/>
    <mergeCell ref="C320:G320"/>
    <mergeCell ref="A323:B326"/>
    <mergeCell ref="C323:G323"/>
    <mergeCell ref="H323:H326"/>
    <mergeCell ref="I323:I326"/>
    <mergeCell ref="J323:J326"/>
    <mergeCell ref="K323:K326"/>
    <mergeCell ref="C324:G324"/>
    <mergeCell ref="C325:G325"/>
    <mergeCell ref="C326:G326"/>
    <mergeCell ref="A328:B331"/>
    <mergeCell ref="C328:G328"/>
    <mergeCell ref="H328:H331"/>
    <mergeCell ref="I328:I331"/>
    <mergeCell ref="J328:J331"/>
    <mergeCell ref="K328:K331"/>
    <mergeCell ref="C329:G329"/>
    <mergeCell ref="C330:G330"/>
    <mergeCell ref="C331:G331"/>
  </mergeCells>
  <conditionalFormatting sqref="L13:BI39 S40:BI40 L55:BI67 L69:BI80 S81:BI81 L96:BI98 L100:BI102 L104:BI108 L110:BI112 L114:BI115 S116:BI116 L130:BI132 S133:BI133 L147:BI173 S174:BI174 S207:BI207 L221:BI222 S223:BI223 S256:BI256 L274:BI275 S276:BI276">
    <cfRule type="cellIs" dxfId="9" priority="126" stopIfTrue="1" operator="greaterThan">
      <formula>0</formula>
    </cfRule>
  </conditionalFormatting>
  <conditionalFormatting sqref="L188:BI206">
    <cfRule type="cellIs" dxfId="8" priority="22" stopIfTrue="1" operator="greaterThan">
      <formula>0</formula>
    </cfRule>
  </conditionalFormatting>
  <conditionalFormatting sqref="L237:BI255">
    <cfRule type="cellIs" dxfId="7" priority="12" stopIfTrue="1" operator="greaterThan">
      <formula>0</formula>
    </cfRule>
  </conditionalFormatting>
  <conditionalFormatting sqref="L270:BI272">
    <cfRule type="cellIs" dxfId="6" priority="3" stopIfTrue="1" operator="greaterThan">
      <formula>0</formula>
    </cfRule>
  </conditionalFormatting>
  <conditionalFormatting sqref="L290:BI292">
    <cfRule type="cellIs" dxfId="5" priority="2" stopIfTrue="1" operator="greaterThan">
      <formula>0</formula>
    </cfRule>
  </conditionalFormatting>
  <conditionalFormatting sqref="L307:BI309">
    <cfRule type="cellIs" dxfId="4" priority="1" stopIfTrue="1" operator="greaterThan">
      <formula>0</formula>
    </cfRule>
  </conditionalFormatting>
  <conditionalFormatting sqref="S293:BI293">
    <cfRule type="cellIs" dxfId="3" priority="32" stopIfTrue="1" operator="greaterThan">
      <formula>0</formula>
    </cfRule>
  </conditionalFormatting>
  <conditionalFormatting sqref="S310:BI310">
    <cfRule type="cellIs" dxfId="2" priority="8" stopIfTrue="1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30DAC-8571-470D-B1D9-95756C50B761}">
  <dimension ref="A1:U68"/>
  <sheetViews>
    <sheetView topLeftCell="A60" zoomScale="140" zoomScaleNormal="140" workbookViewId="0">
      <selection activeCell="J69" sqref="J69"/>
    </sheetView>
  </sheetViews>
  <sheetFormatPr defaultRowHeight="13.8" x14ac:dyDescent="0.25"/>
  <cols>
    <col min="1" max="1" width="16" customWidth="1"/>
    <col min="3" max="3" width="10" customWidth="1"/>
  </cols>
  <sheetData>
    <row r="1" spans="1:21" x14ac:dyDescent="0.25">
      <c r="B1" s="151" t="s">
        <v>178</v>
      </c>
      <c r="C1" s="151" t="s">
        <v>179</v>
      </c>
      <c r="D1" s="151" t="s">
        <v>180</v>
      </c>
      <c r="E1" s="151" t="s">
        <v>181</v>
      </c>
      <c r="F1" s="151" t="s">
        <v>182</v>
      </c>
      <c r="G1" s="151" t="s">
        <v>183</v>
      </c>
      <c r="H1" s="151" t="s">
        <v>184</v>
      </c>
      <c r="I1" s="151" t="s">
        <v>185</v>
      </c>
      <c r="J1" s="151" t="s">
        <v>186</v>
      </c>
      <c r="K1" s="151" t="s">
        <v>187</v>
      </c>
      <c r="L1" s="151" t="s">
        <v>188</v>
      </c>
      <c r="M1" s="151" t="s">
        <v>189</v>
      </c>
      <c r="N1" s="151" t="s">
        <v>190</v>
      </c>
      <c r="O1" s="151" t="s">
        <v>191</v>
      </c>
      <c r="P1" s="151" t="s">
        <v>192</v>
      </c>
      <c r="Q1" s="151" t="s">
        <v>193</v>
      </c>
      <c r="R1" s="151" t="s">
        <v>194</v>
      </c>
      <c r="S1" s="151" t="s">
        <v>195</v>
      </c>
      <c r="T1" s="151" t="s">
        <v>196</v>
      </c>
      <c r="U1" s="151" t="s">
        <v>197</v>
      </c>
    </row>
    <row r="2" spans="1:21" x14ac:dyDescent="0.25">
      <c r="B2" s="152">
        <v>2026</v>
      </c>
      <c r="C2" s="152">
        <v>2027</v>
      </c>
      <c r="D2" s="152">
        <v>2028</v>
      </c>
      <c r="E2" s="152">
        <v>2029</v>
      </c>
      <c r="F2" s="152">
        <v>2030</v>
      </c>
      <c r="G2" s="152">
        <v>2031</v>
      </c>
      <c r="H2" s="152">
        <v>2032</v>
      </c>
      <c r="I2" s="152">
        <v>2033</v>
      </c>
      <c r="J2" s="152">
        <v>2034</v>
      </c>
      <c r="K2" s="152">
        <v>2035</v>
      </c>
      <c r="L2" s="152">
        <v>2036</v>
      </c>
      <c r="M2" s="152">
        <v>2037</v>
      </c>
      <c r="N2" s="152">
        <v>2038</v>
      </c>
      <c r="O2" s="152">
        <v>2039</v>
      </c>
      <c r="P2" s="152">
        <v>2040</v>
      </c>
      <c r="Q2" s="152">
        <v>2041</v>
      </c>
      <c r="R2" s="152">
        <v>2042</v>
      </c>
      <c r="S2" s="152">
        <v>2043</v>
      </c>
      <c r="T2" s="152">
        <v>2044</v>
      </c>
      <c r="U2" s="152">
        <v>2045</v>
      </c>
    </row>
    <row r="3" spans="1:21" ht="13.8" customHeight="1" x14ac:dyDescent="0.25">
      <c r="A3" s="238" t="s">
        <v>296</v>
      </c>
      <c r="B3" s="240">
        <f>'Cromograma Fisico Financeiro'!L323/1000000000</f>
        <v>8.7990814760000008E-2</v>
      </c>
      <c r="C3" s="240">
        <f>'Cromograma Fisico Financeiro'!M323/1000000000</f>
        <v>0.23198899314520002</v>
      </c>
      <c r="D3" s="240">
        <f>'Cromograma Fisico Financeiro'!N323/1000000000</f>
        <v>0.30265480541265</v>
      </c>
      <c r="E3" s="240">
        <f>'Cromograma Fisico Financeiro'!O323/1000000000</f>
        <v>0.29889229577639997</v>
      </c>
      <c r="F3" s="240">
        <f>'Cromograma Fisico Financeiro'!P323/1000000000</f>
        <v>0.31209727593749997</v>
      </c>
      <c r="G3" s="240">
        <f>'Cromograma Fisico Financeiro'!Q323/1000000000</f>
        <v>0.21227429456980001</v>
      </c>
      <c r="H3" s="240">
        <f>'Cromograma Fisico Financeiro'!R323/1000000000</f>
        <v>0.28733943643925003</v>
      </c>
      <c r="I3" s="240">
        <f>'Cromograma Fisico Financeiro'!S323/1000000000</f>
        <v>0.39925376751785002</v>
      </c>
      <c r="J3" s="240">
        <f>'Cromograma Fisico Financeiro'!T323/1000000000</f>
        <v>0.51776176682024999</v>
      </c>
      <c r="K3" s="240">
        <f>'Cromograma Fisico Financeiro'!U323/1000000000</f>
        <v>0.36674482805984504</v>
      </c>
      <c r="L3" s="240">
        <f>'Cromograma Fisico Financeiro'!V323/1000000000</f>
        <v>0.43471349271698007</v>
      </c>
      <c r="M3" s="240">
        <f>'Cromograma Fisico Financeiro'!W323/1000000000</f>
        <v>0.42666495611403005</v>
      </c>
      <c r="N3" s="240">
        <f>'Cromograma Fisico Financeiro'!X323/1000000000</f>
        <v>0.387860076734445</v>
      </c>
      <c r="O3" s="240">
        <f>'Cromograma Fisico Financeiro'!Y323/1000000000</f>
        <v>0.51114116371059004</v>
      </c>
      <c r="P3" s="240">
        <f>'Cromograma Fisico Financeiro'!Z323/1000000000</f>
        <v>0.53138348297104998</v>
      </c>
      <c r="Q3" s="240">
        <f>'Cromograma Fisico Financeiro'!AA323/1000000000</f>
        <v>0.30125764490017004</v>
      </c>
      <c r="R3" s="240">
        <f>'Cromograma Fisico Financeiro'!AB323/1000000000</f>
        <v>0.27420403206050997</v>
      </c>
      <c r="S3" s="240">
        <f>'Cromograma Fisico Financeiro'!AC323/1000000000</f>
        <v>0.33747424787871005</v>
      </c>
      <c r="T3" s="240">
        <f>'Cromograma Fisico Financeiro'!AD323/1000000000</f>
        <v>0.28783704307871</v>
      </c>
      <c r="U3" s="240">
        <f>'Cromograma Fisico Financeiro'!AE323/1000000000</f>
        <v>0.28783704307871</v>
      </c>
    </row>
    <row r="4" spans="1:21" x14ac:dyDescent="0.25">
      <c r="A4" s="239" t="s">
        <v>297</v>
      </c>
      <c r="B4" s="240">
        <f>'Cromograma Fisico Financeiro'!L324/1000000000</f>
        <v>8.7990814760000008E-2</v>
      </c>
      <c r="C4" s="240">
        <f>'Cromograma Fisico Financeiro'!M324/1000000000</f>
        <v>0.31997980790520003</v>
      </c>
      <c r="D4" s="240">
        <f>'Cromograma Fisico Financeiro'!N324/1000000000</f>
        <v>0.62263461331784997</v>
      </c>
      <c r="E4" s="240">
        <f>'Cromograma Fisico Financeiro'!O324/1000000000</f>
        <v>0.92152690909424995</v>
      </c>
      <c r="F4" s="240">
        <f>'Cromograma Fisico Financeiro'!P324/1000000000</f>
        <v>1.23362418503175</v>
      </c>
      <c r="G4" s="240">
        <f>'Cromograma Fisico Financeiro'!Q324/1000000000</f>
        <v>1.4458984796015502</v>
      </c>
      <c r="H4" s="240">
        <f>'Cromograma Fisico Financeiro'!R324/1000000000</f>
        <v>1.7332379160408</v>
      </c>
      <c r="I4" s="240">
        <f>'Cromograma Fisico Financeiro'!S324/1000000000</f>
        <v>2.13249168355865</v>
      </c>
      <c r="J4" s="240">
        <f>'Cromograma Fisico Financeiro'!T324/1000000000</f>
        <v>2.6502534503789001</v>
      </c>
      <c r="K4" s="240">
        <f>'Cromograma Fisico Financeiro'!U324/1000000000</f>
        <v>3.016998278438745</v>
      </c>
      <c r="L4" s="240">
        <f>'Cromograma Fisico Financeiro'!V324/1000000000</f>
        <v>3.451711771155725</v>
      </c>
      <c r="M4" s="240">
        <f>'Cromograma Fisico Financeiro'!W324/1000000000</f>
        <v>3.8783767272697549</v>
      </c>
      <c r="N4" s="240">
        <f>'Cromograma Fisico Financeiro'!X324/1000000000</f>
        <v>4.2662368040042002</v>
      </c>
      <c r="O4" s="240">
        <f>'Cromograma Fisico Financeiro'!Y324/1000000000</f>
        <v>4.7773779677147905</v>
      </c>
      <c r="P4" s="240">
        <f>'Cromograma Fisico Financeiro'!Z324/1000000000</f>
        <v>5.3087614506858403</v>
      </c>
      <c r="Q4" s="240">
        <f>'Cromograma Fisico Financeiro'!AA324/1000000000</f>
        <v>5.6100190955860105</v>
      </c>
      <c r="R4" s="240">
        <f>'Cromograma Fisico Financeiro'!AB324/1000000000</f>
        <v>5.8842231276465204</v>
      </c>
      <c r="S4" s="240">
        <f>'Cromograma Fisico Financeiro'!AC324/1000000000</f>
        <v>6.2216973755252303</v>
      </c>
      <c r="T4" s="240">
        <f>'Cromograma Fisico Financeiro'!AD324/1000000000</f>
        <v>6.5095344186039403</v>
      </c>
      <c r="U4" s="240">
        <f>'Cromograma Fisico Financeiro'!AE324/1000000000</f>
        <v>6.7973714616826495</v>
      </c>
    </row>
    <row r="5" spans="1:21" x14ac:dyDescent="0.25">
      <c r="A5" s="242"/>
      <c r="B5" s="243"/>
    </row>
    <row r="6" spans="1:21" x14ac:dyDescent="0.25">
      <c r="A6" s="244"/>
      <c r="B6" s="245"/>
    </row>
    <row r="39" spans="1:21" x14ac:dyDescent="0.25">
      <c r="B39" s="151" t="s">
        <v>178</v>
      </c>
      <c r="C39" s="151" t="s">
        <v>182</v>
      </c>
      <c r="D39" s="151" t="s">
        <v>187</v>
      </c>
      <c r="E39" s="151" t="s">
        <v>197</v>
      </c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</row>
    <row r="40" spans="1:21" x14ac:dyDescent="0.25">
      <c r="B40" s="152">
        <v>2026</v>
      </c>
      <c r="C40" s="152">
        <f>F2</f>
        <v>2030</v>
      </c>
      <c r="D40" s="152">
        <f>K2</f>
        <v>2035</v>
      </c>
      <c r="E40" s="152">
        <f>U2</f>
        <v>2045</v>
      </c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</row>
    <row r="41" spans="1:21" ht="13.8" customHeight="1" x14ac:dyDescent="0.25">
      <c r="A41" s="238" t="s">
        <v>298</v>
      </c>
      <c r="B41" s="241">
        <v>2200</v>
      </c>
      <c r="C41" s="241">
        <f>31000-2000</f>
        <v>29000</v>
      </c>
      <c r="D41" s="241">
        <f>75200-29000</f>
        <v>46200</v>
      </c>
      <c r="E41" s="241">
        <f>170000-46200</f>
        <v>123800</v>
      </c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240"/>
    </row>
    <row r="42" spans="1:21" ht="20.399999999999999" x14ac:dyDescent="0.25">
      <c r="A42" s="239" t="s">
        <v>299</v>
      </c>
      <c r="B42" s="241">
        <f>B41</f>
        <v>2200</v>
      </c>
      <c r="C42" s="241">
        <f>B41+C41</f>
        <v>31200</v>
      </c>
      <c r="D42" s="241">
        <f t="shared" ref="D42:E42" si="0">C41+D41</f>
        <v>75200</v>
      </c>
      <c r="E42" s="241">
        <f t="shared" si="0"/>
        <v>170000</v>
      </c>
      <c r="F42" s="240"/>
      <c r="G42" s="240"/>
      <c r="H42" s="240"/>
      <c r="I42" s="240"/>
      <c r="J42" s="240"/>
      <c r="K42" s="240"/>
      <c r="L42" s="240"/>
      <c r="M42" s="240"/>
      <c r="N42" s="240"/>
      <c r="O42" s="240"/>
      <c r="P42" s="240"/>
      <c r="Q42" s="240"/>
      <c r="R42" s="240"/>
      <c r="S42" s="240"/>
      <c r="T42" s="240"/>
      <c r="U42" s="240"/>
    </row>
    <row r="65" spans="1:21" x14ac:dyDescent="0.25">
      <c r="B65" s="151" t="s">
        <v>178</v>
      </c>
      <c r="C65" s="151" t="s">
        <v>179</v>
      </c>
      <c r="D65" s="151" t="s">
        <v>180</v>
      </c>
      <c r="E65" s="151" t="s">
        <v>181</v>
      </c>
      <c r="F65" s="151" t="s">
        <v>182</v>
      </c>
      <c r="G65" s="151" t="s">
        <v>183</v>
      </c>
      <c r="H65" s="151" t="s">
        <v>184</v>
      </c>
      <c r="I65" s="151" t="s">
        <v>185</v>
      </c>
      <c r="J65" s="151" t="s">
        <v>186</v>
      </c>
      <c r="K65" s="151" t="s">
        <v>187</v>
      </c>
      <c r="L65" s="151" t="s">
        <v>188</v>
      </c>
      <c r="M65" s="151" t="s">
        <v>189</v>
      </c>
      <c r="N65" s="151" t="s">
        <v>190</v>
      </c>
      <c r="O65" s="151" t="s">
        <v>191</v>
      </c>
      <c r="P65" s="151" t="s">
        <v>192</v>
      </c>
      <c r="Q65" s="151" t="s">
        <v>193</v>
      </c>
      <c r="R65" s="151" t="s">
        <v>194</v>
      </c>
      <c r="S65" s="151" t="s">
        <v>195</v>
      </c>
      <c r="T65" s="151" t="s">
        <v>196</v>
      </c>
      <c r="U65" s="151" t="s">
        <v>197</v>
      </c>
    </row>
    <row r="66" spans="1:21" x14ac:dyDescent="0.25">
      <c r="B66" s="152">
        <v>2026</v>
      </c>
      <c r="C66" s="152">
        <v>2027</v>
      </c>
      <c r="D66" s="152">
        <v>2028</v>
      </c>
      <c r="E66" s="152">
        <v>2029</v>
      </c>
      <c r="F66" s="152">
        <v>2030</v>
      </c>
      <c r="G66" s="152">
        <v>2031</v>
      </c>
      <c r="H66" s="152">
        <v>2032</v>
      </c>
      <c r="I66" s="152">
        <v>2033</v>
      </c>
      <c r="J66" s="152">
        <v>2034</v>
      </c>
      <c r="K66" s="152">
        <v>2035</v>
      </c>
      <c r="L66" s="152">
        <v>2036</v>
      </c>
      <c r="M66" s="152">
        <v>2037</v>
      </c>
      <c r="N66" s="152">
        <v>2038</v>
      </c>
      <c r="O66" s="152">
        <v>2039</v>
      </c>
      <c r="P66" s="152">
        <v>2040</v>
      </c>
      <c r="Q66" s="152">
        <v>2041</v>
      </c>
      <c r="R66" s="152">
        <v>2042</v>
      </c>
      <c r="S66" s="152">
        <v>2043</v>
      </c>
      <c r="T66" s="152">
        <v>2044</v>
      </c>
      <c r="U66" s="152">
        <v>2045</v>
      </c>
    </row>
    <row r="67" spans="1:21" ht="13.8" customHeight="1" x14ac:dyDescent="0.25">
      <c r="A67" s="238" t="s">
        <v>300</v>
      </c>
      <c r="B67" s="240">
        <f>'Cromograma Fisico Financeiro'!L328/1000000000</f>
        <v>2.4415598210949355E-2</v>
      </c>
      <c r="C67" s="240">
        <f>'Cromograma Fisico Financeiro'!M328/1000000000</f>
        <v>8.7573681166984038E-2</v>
      </c>
      <c r="D67" s="240">
        <f>'Cromograma Fisico Financeiro'!N328/1000000000</f>
        <v>0.16676675413351266</v>
      </c>
      <c r="E67" s="240">
        <f>'Cromograma Fisico Financeiro'!O328/1000000000</f>
        <v>0.19298121510538302</v>
      </c>
      <c r="F67" s="240">
        <f>'Cromograma Fisico Financeiro'!P328/1000000000</f>
        <v>0.19030309343280932</v>
      </c>
      <c r="G67" s="240">
        <f>'Cromograma Fisico Financeiro'!Q328/1000000000</f>
        <v>0.20364209337321998</v>
      </c>
      <c r="H67" s="240">
        <f>'Cromograma Fisico Financeiro'!R328/1000000000</f>
        <v>0.25844996358754824</v>
      </c>
      <c r="I67" s="240">
        <f>'Cromograma Fisico Financeiro'!S328/1000000000</f>
        <v>0.28666898249389178</v>
      </c>
      <c r="J67" s="240">
        <f>'Cromograma Fisico Financeiro'!T328/1000000000</f>
        <v>0.33207555633502162</v>
      </c>
      <c r="K67" s="240">
        <f>'Cromograma Fisico Financeiro'!U328/1000000000</f>
        <v>0.3354452424391145</v>
      </c>
      <c r="L67" s="240">
        <f>'Cromograma Fisico Financeiro'!V328/1000000000</f>
        <v>0.38237769201430405</v>
      </c>
      <c r="M67" s="240">
        <f>'Cromograma Fisico Financeiro'!W328/1000000000</f>
        <v>0.38104392819024191</v>
      </c>
      <c r="N67" s="240">
        <f>'Cromograma Fisico Financeiro'!X328/1000000000</f>
        <v>0.35144851964747692</v>
      </c>
      <c r="O67" s="240">
        <f>'Cromograma Fisico Financeiro'!Y328/1000000000</f>
        <v>0.36200265759476069</v>
      </c>
      <c r="P67" s="240">
        <f>'Cromograma Fisico Financeiro'!Z328/1000000000</f>
        <v>0.36454481971118169</v>
      </c>
      <c r="Q67" s="240">
        <f>'Cromograma Fisico Financeiro'!AA328/1000000000</f>
        <v>0.30117836850830182</v>
      </c>
      <c r="R67" s="240">
        <f>'Cromograma Fisico Financeiro'!AB328/1000000000</f>
        <v>0.27016389546900466</v>
      </c>
      <c r="S67" s="240">
        <f>'Cromograma Fisico Financeiro'!AC328/1000000000</f>
        <v>0.30421575239769977</v>
      </c>
      <c r="T67" s="240">
        <f>'Cromograma Fisico Financeiro'!AD328/1000000000</f>
        <v>0.26040517787729589</v>
      </c>
      <c r="U67" s="240">
        <f>'Cromograma Fisico Financeiro'!AE328/1000000000</f>
        <v>0.26395422299575694</v>
      </c>
    </row>
    <row r="68" spans="1:21" x14ac:dyDescent="0.25">
      <c r="A68" s="239" t="s">
        <v>301</v>
      </c>
      <c r="B68" s="240">
        <f>B67</f>
        <v>2.4415598210949355E-2</v>
      </c>
      <c r="C68" s="240">
        <f>B68+C67</f>
        <v>0.11198927937793339</v>
      </c>
      <c r="D68" s="240">
        <f>C68+D67</f>
        <v>0.27875603351144607</v>
      </c>
      <c r="E68" s="240">
        <f>D68+E67</f>
        <v>0.47173724861682909</v>
      </c>
      <c r="F68" s="240">
        <f t="shared" ref="F68:U68" si="1">E68+F67</f>
        <v>0.66204034204963835</v>
      </c>
      <c r="G68" s="240">
        <f t="shared" si="1"/>
        <v>0.86568243542285828</v>
      </c>
      <c r="H68" s="240">
        <f t="shared" si="1"/>
        <v>1.1241323990104064</v>
      </c>
      <c r="I68" s="240">
        <f t="shared" si="1"/>
        <v>1.4108013815042981</v>
      </c>
      <c r="J68" s="240">
        <f t="shared" si="1"/>
        <v>1.7428769378393199</v>
      </c>
      <c r="K68" s="240">
        <f t="shared" si="1"/>
        <v>2.0783221802784344</v>
      </c>
      <c r="L68" s="240">
        <f t="shared" si="1"/>
        <v>2.4606998722927385</v>
      </c>
      <c r="M68" s="240">
        <f t="shared" si="1"/>
        <v>2.8417438004829805</v>
      </c>
      <c r="N68" s="240">
        <f t="shared" si="1"/>
        <v>3.1931923201304575</v>
      </c>
      <c r="O68" s="240">
        <f t="shared" si="1"/>
        <v>3.5551949777252183</v>
      </c>
      <c r="P68" s="240">
        <f t="shared" si="1"/>
        <v>3.9197397974363999</v>
      </c>
      <c r="Q68" s="240">
        <f t="shared" si="1"/>
        <v>4.2209181659447017</v>
      </c>
      <c r="R68" s="240">
        <f t="shared" si="1"/>
        <v>4.4910820614137066</v>
      </c>
      <c r="S68" s="240">
        <f t="shared" si="1"/>
        <v>4.7952978138114064</v>
      </c>
      <c r="T68" s="240">
        <f t="shared" si="1"/>
        <v>5.055702991688702</v>
      </c>
      <c r="U68" s="240">
        <f t="shared" si="1"/>
        <v>5.319657214684459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BCC1A-DCF3-4156-8380-929C63275920}">
  <sheetPr>
    <tabColor rgb="FFFF0000"/>
  </sheetPr>
  <dimension ref="A1:P147"/>
  <sheetViews>
    <sheetView topLeftCell="A83" workbookViewId="0">
      <selection activeCell="I145" sqref="I145"/>
    </sheetView>
  </sheetViews>
  <sheetFormatPr defaultRowHeight="13.8" x14ac:dyDescent="0.25"/>
  <cols>
    <col min="1" max="1" width="28.5" customWidth="1"/>
    <col min="2" max="2" width="11.296875" style="247" customWidth="1"/>
    <col min="3" max="3" width="11.296875" style="248" customWidth="1"/>
    <col min="4" max="5" width="11.296875" customWidth="1"/>
    <col min="6" max="6" width="14.09765625" customWidth="1"/>
    <col min="7" max="7" width="9.296875" customWidth="1"/>
    <col min="8" max="8" width="19.5" style="1" customWidth="1"/>
    <col min="9" max="9" width="18.09765625" style="1" customWidth="1"/>
    <col min="10" max="10" width="20.69921875" customWidth="1"/>
    <col min="11" max="11" width="21.296875" style="1" customWidth="1"/>
    <col min="12" max="12" width="18.09765625" customWidth="1"/>
    <col min="13" max="13" width="17.3984375" customWidth="1"/>
    <col min="14" max="14" width="8.796875" style="1"/>
    <col min="15" max="15" width="3.09765625" customWidth="1"/>
    <col min="16" max="16" width="14.69921875" customWidth="1"/>
  </cols>
  <sheetData>
    <row r="1" spans="1:16" ht="14.4" x14ac:dyDescent="0.3">
      <c r="A1" s="246" t="s">
        <v>302</v>
      </c>
    </row>
    <row r="3" spans="1:16" ht="14.4" x14ac:dyDescent="0.3">
      <c r="A3" t="s">
        <v>303</v>
      </c>
      <c r="B3" s="249">
        <v>59743.74</v>
      </c>
      <c r="C3" s="248">
        <v>1</v>
      </c>
      <c r="F3" s="250" t="s">
        <v>304</v>
      </c>
      <c r="G3" s="251"/>
      <c r="H3" s="252"/>
      <c r="I3" s="253"/>
      <c r="J3" s="254"/>
      <c r="K3" s="2"/>
    </row>
    <row r="4" spans="1:16" ht="14.4" x14ac:dyDescent="0.3">
      <c r="A4" t="s">
        <v>305</v>
      </c>
      <c r="B4" s="247">
        <f>B3</f>
        <v>59743.74</v>
      </c>
      <c r="C4" s="248">
        <f>B4/B3</f>
        <v>1</v>
      </c>
      <c r="F4" s="1" t="s">
        <v>306</v>
      </c>
      <c r="G4" s="1" t="s">
        <v>307</v>
      </c>
      <c r="H4" s="1" t="s">
        <v>308</v>
      </c>
      <c r="I4" s="1" t="s">
        <v>309</v>
      </c>
      <c r="J4" s="1" t="s">
        <v>310</v>
      </c>
      <c r="K4" s="255" t="s">
        <v>311</v>
      </c>
      <c r="L4" s="256" t="s">
        <v>312</v>
      </c>
      <c r="M4" s="1" t="s">
        <v>313</v>
      </c>
      <c r="P4" s="256" t="s">
        <v>312</v>
      </c>
    </row>
    <row r="5" spans="1:16" ht="14.4" x14ac:dyDescent="0.3">
      <c r="E5" s="257" t="s">
        <v>314</v>
      </c>
      <c r="F5" s="258">
        <f>B8</f>
        <v>37412.410000000003</v>
      </c>
      <c r="G5" s="259">
        <v>4</v>
      </c>
      <c r="H5" s="260">
        <f>G5*F5</f>
        <v>149649.64000000001</v>
      </c>
      <c r="I5" s="261">
        <v>100</v>
      </c>
      <c r="J5" s="262">
        <f>H5/I5</f>
        <v>1496.4964000000002</v>
      </c>
      <c r="K5" s="263">
        <v>2.8</v>
      </c>
      <c r="L5" s="264">
        <f>K5*J5</f>
        <v>4190.1899200000007</v>
      </c>
      <c r="M5" s="265">
        <f>L5/F5*10000</f>
        <v>1120</v>
      </c>
      <c r="P5" s="266">
        <f>L5</f>
        <v>4190.1899200000007</v>
      </c>
    </row>
    <row r="6" spans="1:16" x14ac:dyDescent="0.25">
      <c r="A6" t="s">
        <v>315</v>
      </c>
      <c r="B6" s="247">
        <f>B4</f>
        <v>59743.74</v>
      </c>
      <c r="C6" s="248">
        <v>1</v>
      </c>
      <c r="N6"/>
    </row>
    <row r="7" spans="1:16" ht="14.4" x14ac:dyDescent="0.3">
      <c r="A7" t="s">
        <v>316</v>
      </c>
      <c r="B7" s="247">
        <f>B8+B9</f>
        <v>42812.41</v>
      </c>
      <c r="C7" s="248">
        <f>B7/B6</f>
        <v>0.71660076854914012</v>
      </c>
      <c r="E7" s="1"/>
      <c r="F7" s="250" t="s">
        <v>317</v>
      </c>
      <c r="G7" s="11"/>
    </row>
    <row r="8" spans="1:16" ht="14.4" x14ac:dyDescent="0.3">
      <c r="A8" t="s">
        <v>318</v>
      </c>
      <c r="B8" s="249">
        <v>37412.410000000003</v>
      </c>
      <c r="C8" s="248">
        <f>B8/B6</f>
        <v>0.62621472977754666</v>
      </c>
      <c r="F8" s="1" t="s">
        <v>313</v>
      </c>
      <c r="G8" s="407" t="s">
        <v>319</v>
      </c>
      <c r="H8" s="407"/>
      <c r="I8" s="256" t="s">
        <v>312</v>
      </c>
      <c r="J8" s="255" t="s">
        <v>311</v>
      </c>
      <c r="K8" s="1" t="s">
        <v>310</v>
      </c>
      <c r="L8" s="1" t="s">
        <v>309</v>
      </c>
      <c r="M8" s="1" t="s">
        <v>308</v>
      </c>
      <c r="N8" s="1" t="s">
        <v>307</v>
      </c>
    </row>
    <row r="9" spans="1:16" ht="14.4" x14ac:dyDescent="0.3">
      <c r="A9" t="s">
        <v>320</v>
      </c>
      <c r="B9" s="249">
        <v>5400</v>
      </c>
      <c r="C9" s="248">
        <f>B9/B6</f>
        <v>9.0386038771593485E-2</v>
      </c>
      <c r="F9" s="267">
        <v>600</v>
      </c>
      <c r="G9" s="404">
        <f>B8/10000</f>
        <v>3.7412410000000005</v>
      </c>
      <c r="H9" s="404"/>
      <c r="I9" s="268">
        <f>G9*F9</f>
        <v>2244.7446000000004</v>
      </c>
      <c r="J9" s="269">
        <v>2.8</v>
      </c>
      <c r="K9" s="270">
        <f>I9/J9</f>
        <v>801.69450000000018</v>
      </c>
      <c r="L9" s="271">
        <v>100</v>
      </c>
      <c r="M9" s="272">
        <f>K9*L9</f>
        <v>80169.450000000012</v>
      </c>
      <c r="N9" s="273">
        <f>(M9/G9)/10000</f>
        <v>2.1428571428571428</v>
      </c>
    </row>
    <row r="10" spans="1:16" x14ac:dyDescent="0.25">
      <c r="A10" t="s">
        <v>321</v>
      </c>
      <c r="B10" s="249">
        <v>7741.42</v>
      </c>
      <c r="C10" s="248">
        <f>B10/B6</f>
        <v>0.12957709041984986</v>
      </c>
      <c r="N10"/>
    </row>
    <row r="11" spans="1:16" x14ac:dyDescent="0.25">
      <c r="A11" t="s">
        <v>322</v>
      </c>
      <c r="B11" s="247">
        <f>B6-B7-B10</f>
        <v>9189.9099999999944</v>
      </c>
      <c r="C11" s="248">
        <f>B11/B6</f>
        <v>0.15382214103101002</v>
      </c>
      <c r="N11"/>
    </row>
    <row r="12" spans="1:16" ht="14.4" thickBot="1" x14ac:dyDescent="0.3">
      <c r="N12"/>
    </row>
    <row r="13" spans="1:16" s="274" customFormat="1" x14ac:dyDescent="0.25">
      <c r="B13" s="275"/>
      <c r="C13" s="276"/>
      <c r="H13" s="277"/>
      <c r="I13" s="277"/>
      <c r="K13" s="277"/>
      <c r="N13" s="277"/>
    </row>
    <row r="14" spans="1:16" x14ac:dyDescent="0.25">
      <c r="A14" t="s">
        <v>323</v>
      </c>
    </row>
    <row r="16" spans="1:16" ht="14.4" x14ac:dyDescent="0.3">
      <c r="A16" t="s">
        <v>303</v>
      </c>
      <c r="B16" s="249">
        <v>117208.4</v>
      </c>
      <c r="C16" s="248">
        <v>1</v>
      </c>
      <c r="F16" s="250" t="s">
        <v>304</v>
      </c>
      <c r="G16" s="251"/>
      <c r="H16" s="252"/>
      <c r="I16" s="253"/>
      <c r="J16" s="254"/>
      <c r="K16" s="2"/>
    </row>
    <row r="17" spans="1:16" ht="14.4" x14ac:dyDescent="0.3">
      <c r="A17" t="s">
        <v>305</v>
      </c>
      <c r="B17" s="247">
        <f>B16</f>
        <v>117208.4</v>
      </c>
      <c r="C17" s="248">
        <f>B17/B16</f>
        <v>1</v>
      </c>
      <c r="F17" s="1" t="s">
        <v>306</v>
      </c>
      <c r="G17" s="1" t="s">
        <v>307</v>
      </c>
      <c r="H17" s="1" t="s">
        <v>308</v>
      </c>
      <c r="I17" s="1" t="s">
        <v>309</v>
      </c>
      <c r="J17" s="1" t="s">
        <v>310</v>
      </c>
      <c r="K17" s="255" t="s">
        <v>311</v>
      </c>
      <c r="L17" s="256" t="s">
        <v>312</v>
      </c>
      <c r="M17" s="1" t="s">
        <v>313</v>
      </c>
    </row>
    <row r="18" spans="1:16" ht="14.4" x14ac:dyDescent="0.3">
      <c r="E18" s="257" t="s">
        <v>314</v>
      </c>
      <c r="F18" s="258">
        <v>31336.65</v>
      </c>
      <c r="G18" s="259">
        <v>4</v>
      </c>
      <c r="H18" s="260">
        <f>G18*F18</f>
        <v>125346.6</v>
      </c>
      <c r="I18" s="408">
        <v>100</v>
      </c>
      <c r="J18" s="262">
        <f>H18/I18</f>
        <v>1253.4660000000001</v>
      </c>
      <c r="K18" s="409">
        <v>2.8</v>
      </c>
      <c r="L18" s="264">
        <f>K18*J18</f>
        <v>3509.7048</v>
      </c>
      <c r="M18" s="265">
        <f>L18/F18*10000</f>
        <v>1119.9999999999998</v>
      </c>
    </row>
    <row r="19" spans="1:16" ht="14.4" x14ac:dyDescent="0.3">
      <c r="A19" t="s">
        <v>315</v>
      </c>
      <c r="B19" s="247">
        <f>B17</f>
        <v>117208.4</v>
      </c>
      <c r="C19" s="248">
        <v>1</v>
      </c>
      <c r="E19" s="257" t="s">
        <v>324</v>
      </c>
      <c r="F19" s="258">
        <f>B21-F18</f>
        <v>9147.93</v>
      </c>
      <c r="G19" s="259">
        <v>3</v>
      </c>
      <c r="H19" s="260">
        <f>G19*F19</f>
        <v>27443.79</v>
      </c>
      <c r="I19" s="408"/>
      <c r="J19" s="262">
        <f>H19/I18</f>
        <v>274.43790000000001</v>
      </c>
      <c r="K19" s="409"/>
      <c r="L19" s="264">
        <f>K18*J19</f>
        <v>768.42611999999997</v>
      </c>
      <c r="M19" s="265">
        <f>L19/F19*10000</f>
        <v>839.99999999999989</v>
      </c>
    </row>
    <row r="20" spans="1:16" ht="14.4" x14ac:dyDescent="0.3">
      <c r="A20" t="s">
        <v>316</v>
      </c>
      <c r="B20" s="247">
        <f>B21+B22+B23+B24</f>
        <v>64758.75</v>
      </c>
      <c r="C20" s="248">
        <f>B20/B19</f>
        <v>0.55250946177918991</v>
      </c>
      <c r="E20" s="257" t="s">
        <v>325</v>
      </c>
      <c r="F20" s="278">
        <f>F18+F19</f>
        <v>40484.58</v>
      </c>
      <c r="G20" s="279"/>
      <c r="H20" s="279"/>
      <c r="I20" s="279"/>
      <c r="J20" s="279"/>
      <c r="K20" s="279"/>
      <c r="L20" s="280">
        <f>L18+L19</f>
        <v>4278.1309199999996</v>
      </c>
      <c r="M20" s="281">
        <f>L20/F20*10000</f>
        <v>1056.7309627517438</v>
      </c>
      <c r="P20" s="266">
        <f>L20</f>
        <v>4278.1309199999996</v>
      </c>
    </row>
    <row r="21" spans="1:16" x14ac:dyDescent="0.25">
      <c r="A21" t="s">
        <v>318</v>
      </c>
      <c r="B21" s="249">
        <v>40484.58</v>
      </c>
      <c r="C21" s="248">
        <f>B21/B19</f>
        <v>0.34540681384610661</v>
      </c>
      <c r="F21" s="1"/>
      <c r="G21" s="1"/>
      <c r="J21" s="1"/>
      <c r="L21" s="1"/>
    </row>
    <row r="22" spans="1:16" x14ac:dyDescent="0.25">
      <c r="A22" t="s">
        <v>17</v>
      </c>
      <c r="B22" s="249">
        <v>8925.08</v>
      </c>
      <c r="C22" s="248">
        <f>B22/B19</f>
        <v>7.614710208483351E-2</v>
      </c>
    </row>
    <row r="23" spans="1:16" ht="14.4" x14ac:dyDescent="0.3">
      <c r="A23" t="s">
        <v>326</v>
      </c>
      <c r="B23" s="249">
        <v>5942.25</v>
      </c>
      <c r="C23" s="248">
        <f>B23/B19</f>
        <v>5.069815815248737E-2</v>
      </c>
      <c r="F23" s="250" t="s">
        <v>317</v>
      </c>
      <c r="G23" s="11"/>
    </row>
    <row r="24" spans="1:16" ht="14.4" x14ac:dyDescent="0.3">
      <c r="A24" t="s">
        <v>327</v>
      </c>
      <c r="B24" s="249">
        <v>9406.84</v>
      </c>
      <c r="C24" s="248">
        <f>B24/B19</f>
        <v>8.0257387695762419E-2</v>
      </c>
      <c r="F24" s="1" t="s">
        <v>313</v>
      </c>
      <c r="G24" s="407" t="s">
        <v>319</v>
      </c>
      <c r="H24" s="407"/>
      <c r="I24" s="256" t="s">
        <v>312</v>
      </c>
      <c r="J24" s="255" t="s">
        <v>311</v>
      </c>
      <c r="K24" s="1" t="s">
        <v>310</v>
      </c>
      <c r="L24" s="1" t="s">
        <v>309</v>
      </c>
      <c r="M24" s="1" t="s">
        <v>308</v>
      </c>
      <c r="N24" s="1" t="s">
        <v>307</v>
      </c>
    </row>
    <row r="25" spans="1:16" ht="14.4" x14ac:dyDescent="0.3">
      <c r="A25" t="s">
        <v>328</v>
      </c>
      <c r="B25" s="249">
        <v>7929.92</v>
      </c>
      <c r="C25" s="248">
        <f>B25/B19</f>
        <v>6.7656584340371514E-2</v>
      </c>
      <c r="F25" s="267">
        <v>600</v>
      </c>
      <c r="G25" s="404">
        <f>B21/10000</f>
        <v>4.0484580000000001</v>
      </c>
      <c r="H25" s="404"/>
      <c r="I25" s="268">
        <f>G25*F25</f>
        <v>2429.0747999999999</v>
      </c>
      <c r="J25" s="269">
        <v>2.8</v>
      </c>
      <c r="K25" s="270">
        <f>I25/J25</f>
        <v>867.52671428571432</v>
      </c>
      <c r="L25" s="271">
        <v>100</v>
      </c>
      <c r="M25" s="272">
        <f>K25*L25</f>
        <v>86752.671428571426</v>
      </c>
      <c r="N25" s="273">
        <f>(M25/G25)/10000</f>
        <v>2.1428571428571428</v>
      </c>
    </row>
    <row r="26" spans="1:16" x14ac:dyDescent="0.25">
      <c r="A26" t="s">
        <v>322</v>
      </c>
      <c r="B26" s="247">
        <f>B19-B20-B25</f>
        <v>44519.729999999996</v>
      </c>
      <c r="C26" s="248">
        <f>B26/B19</f>
        <v>0.37983395388043861</v>
      </c>
    </row>
    <row r="27" spans="1:16" ht="14.4" thickBot="1" x14ac:dyDescent="0.3"/>
    <row r="28" spans="1:16" s="274" customFormat="1" x14ac:dyDescent="0.25">
      <c r="B28" s="275"/>
      <c r="C28" s="276"/>
      <c r="H28" s="277"/>
      <c r="I28" s="277"/>
      <c r="K28" s="277"/>
      <c r="N28" s="277"/>
    </row>
    <row r="29" spans="1:16" x14ac:dyDescent="0.25">
      <c r="A29" t="s">
        <v>329</v>
      </c>
      <c r="F29" s="282"/>
      <c r="G29" s="282"/>
      <c r="H29" s="2"/>
      <c r="J29" s="282"/>
    </row>
    <row r="30" spans="1:16" ht="14.4" x14ac:dyDescent="0.3">
      <c r="F30" s="250" t="s">
        <v>304</v>
      </c>
      <c r="G30" s="251"/>
      <c r="H30" s="252"/>
      <c r="I30" s="253"/>
      <c r="J30" s="254"/>
      <c r="K30" s="2"/>
    </row>
    <row r="31" spans="1:16" ht="14.4" x14ac:dyDescent="0.3">
      <c r="A31" t="s">
        <v>303</v>
      </c>
      <c r="B31" s="249">
        <v>307286.3</v>
      </c>
      <c r="C31" s="248">
        <v>1</v>
      </c>
      <c r="F31" s="1" t="s">
        <v>306</v>
      </c>
      <c r="G31" s="1" t="s">
        <v>307</v>
      </c>
      <c r="H31" s="1" t="s">
        <v>308</v>
      </c>
      <c r="I31" s="1" t="s">
        <v>309</v>
      </c>
      <c r="J31" s="1" t="s">
        <v>310</v>
      </c>
      <c r="K31" s="255" t="s">
        <v>311</v>
      </c>
      <c r="L31" s="256" t="s">
        <v>312</v>
      </c>
      <c r="M31" s="1" t="s">
        <v>313</v>
      </c>
    </row>
    <row r="32" spans="1:16" ht="14.4" x14ac:dyDescent="0.3">
      <c r="A32" t="s">
        <v>305</v>
      </c>
      <c r="B32" s="247">
        <f>B31</f>
        <v>307286.3</v>
      </c>
      <c r="C32" s="248">
        <f>B32/B31</f>
        <v>1</v>
      </c>
      <c r="E32" s="257" t="s">
        <v>314</v>
      </c>
      <c r="F32" s="258">
        <v>49877.37</v>
      </c>
      <c r="G32" s="259">
        <v>4</v>
      </c>
      <c r="H32" s="260">
        <f>G32*F32</f>
        <v>199509.48</v>
      </c>
      <c r="I32" s="408">
        <v>100</v>
      </c>
      <c r="J32" s="262">
        <f>H32/I32</f>
        <v>1995.0948000000001</v>
      </c>
      <c r="K32" s="409">
        <v>2.8</v>
      </c>
      <c r="L32" s="264">
        <f>K32*J32</f>
        <v>5586.2654400000001</v>
      </c>
      <c r="M32" s="265">
        <f>L32/F32*10000</f>
        <v>1120</v>
      </c>
    </row>
    <row r="33" spans="1:16" ht="14.4" x14ac:dyDescent="0.3">
      <c r="E33" s="257" t="s">
        <v>324</v>
      </c>
      <c r="F33" s="258">
        <v>89793.52</v>
      </c>
      <c r="G33" s="259">
        <v>3</v>
      </c>
      <c r="H33" s="260">
        <f>G33*F33</f>
        <v>269380.56</v>
      </c>
      <c r="I33" s="408"/>
      <c r="J33" s="262">
        <f>H33/I32</f>
        <v>2693.8056000000001</v>
      </c>
      <c r="K33" s="409"/>
      <c r="L33" s="264">
        <f>K32*J33</f>
        <v>7542.6556799999998</v>
      </c>
      <c r="M33" s="265">
        <f>L33/F33*10000</f>
        <v>839.99999999999989</v>
      </c>
    </row>
    <row r="34" spans="1:16" ht="14.4" x14ac:dyDescent="0.3">
      <c r="A34" t="s">
        <v>315</v>
      </c>
      <c r="B34" s="247">
        <f>B32</f>
        <v>307286.3</v>
      </c>
      <c r="C34" s="248">
        <v>1</v>
      </c>
      <c r="E34" s="257" t="s">
        <v>325</v>
      </c>
      <c r="F34" s="278">
        <f>F32+F33</f>
        <v>139670.89000000001</v>
      </c>
      <c r="G34" s="279"/>
      <c r="H34" s="279"/>
      <c r="I34" s="279"/>
      <c r="J34" s="279"/>
      <c r="K34" s="279"/>
      <c r="L34" s="280">
        <f>L32+L33</f>
        <v>13128.921119999999</v>
      </c>
      <c r="M34" s="281">
        <f>L34/F34*10000</f>
        <v>939.98979458067447</v>
      </c>
      <c r="P34" s="266">
        <f>L34</f>
        <v>13128.921119999999</v>
      </c>
    </row>
    <row r="35" spans="1:16" x14ac:dyDescent="0.25">
      <c r="A35" t="s">
        <v>316</v>
      </c>
      <c r="B35" s="247">
        <f>B36+B37</f>
        <v>150137.86000000002</v>
      </c>
      <c r="C35" s="248">
        <f>B35/B34</f>
        <v>0.48859275535551056</v>
      </c>
      <c r="F35" s="1"/>
      <c r="G35" s="1"/>
      <c r="J35" s="1"/>
      <c r="L35" s="1"/>
    </row>
    <row r="36" spans="1:16" x14ac:dyDescent="0.25">
      <c r="A36" t="s">
        <v>318</v>
      </c>
      <c r="B36" s="249">
        <v>139670.89000000001</v>
      </c>
      <c r="C36" s="248">
        <f>B36/B34</f>
        <v>0.4545301564046299</v>
      </c>
    </row>
    <row r="37" spans="1:16" ht="14.4" x14ac:dyDescent="0.3">
      <c r="A37" t="s">
        <v>17</v>
      </c>
      <c r="B37" s="249">
        <v>10466.969999999999</v>
      </c>
      <c r="C37" s="248">
        <f>B37/B34</f>
        <v>3.4062598950880658E-2</v>
      </c>
      <c r="F37" s="250" t="s">
        <v>317</v>
      </c>
      <c r="G37" s="11"/>
    </row>
    <row r="38" spans="1:16" ht="14.4" x14ac:dyDescent="0.3">
      <c r="A38" t="s">
        <v>328</v>
      </c>
      <c r="B38" s="249">
        <v>67225.47</v>
      </c>
      <c r="C38" s="248">
        <f>B38/B34</f>
        <v>0.21877145190006844</v>
      </c>
      <c r="F38" s="1" t="s">
        <v>313</v>
      </c>
      <c r="G38" s="407" t="s">
        <v>319</v>
      </c>
      <c r="H38" s="407"/>
      <c r="I38" s="256" t="s">
        <v>312</v>
      </c>
      <c r="J38" s="255" t="s">
        <v>311</v>
      </c>
      <c r="K38" s="1" t="s">
        <v>310</v>
      </c>
      <c r="L38" s="1" t="s">
        <v>309</v>
      </c>
      <c r="M38" s="1" t="s">
        <v>308</v>
      </c>
      <c r="N38" s="1" t="s">
        <v>307</v>
      </c>
    </row>
    <row r="39" spans="1:16" ht="14.4" x14ac:dyDescent="0.3">
      <c r="A39" t="s">
        <v>322</v>
      </c>
      <c r="B39" s="247">
        <f>B34-B35-B38</f>
        <v>89922.969999999972</v>
      </c>
      <c r="C39" s="248">
        <f>B39/B34</f>
        <v>0.29263579274442097</v>
      </c>
      <c r="F39" s="267">
        <v>600</v>
      </c>
      <c r="G39" s="404">
        <f>B36/10000</f>
        <v>13.967089000000001</v>
      </c>
      <c r="H39" s="404"/>
      <c r="I39" s="268">
        <f>G39*F39</f>
        <v>8380.2534000000014</v>
      </c>
      <c r="J39" s="269">
        <v>2.8</v>
      </c>
      <c r="K39" s="270">
        <f>I39/J39</f>
        <v>2992.9476428571434</v>
      </c>
      <c r="L39" s="271">
        <v>100</v>
      </c>
      <c r="M39" s="272">
        <f>K39*L39</f>
        <v>299294.76428571437</v>
      </c>
      <c r="N39" s="273">
        <f>(M39/G39)/10000</f>
        <v>2.1428571428571432</v>
      </c>
    </row>
    <row r="40" spans="1:16" ht="14.4" thickBot="1" x14ac:dyDescent="0.3"/>
    <row r="41" spans="1:16" s="274" customFormat="1" x14ac:dyDescent="0.25">
      <c r="B41" s="275"/>
      <c r="C41" s="276"/>
      <c r="H41" s="277"/>
      <c r="I41" s="277"/>
      <c r="K41" s="277"/>
      <c r="N41" s="277"/>
    </row>
    <row r="42" spans="1:16" x14ac:dyDescent="0.25">
      <c r="A42" t="s">
        <v>330</v>
      </c>
    </row>
    <row r="43" spans="1:16" x14ac:dyDescent="0.25">
      <c r="K43" s="2"/>
    </row>
    <row r="44" spans="1:16" ht="14.4" x14ac:dyDescent="0.3">
      <c r="A44" t="s">
        <v>303</v>
      </c>
      <c r="B44" s="249">
        <v>285560.17</v>
      </c>
      <c r="C44" s="248">
        <v>1</v>
      </c>
      <c r="F44" s="250" t="s">
        <v>304</v>
      </c>
      <c r="G44" s="251"/>
      <c r="H44" s="252"/>
      <c r="I44" s="253"/>
      <c r="J44" s="254"/>
      <c r="K44" s="2"/>
    </row>
    <row r="45" spans="1:16" ht="14.4" x14ac:dyDescent="0.3">
      <c r="A45" t="s">
        <v>331</v>
      </c>
      <c r="B45" s="249">
        <v>98424.41</v>
      </c>
      <c r="F45" s="1" t="s">
        <v>306</v>
      </c>
      <c r="G45" s="1" t="s">
        <v>307</v>
      </c>
      <c r="H45" s="1" t="s">
        <v>308</v>
      </c>
      <c r="I45" s="1" t="s">
        <v>309</v>
      </c>
      <c r="J45" s="1" t="s">
        <v>310</v>
      </c>
      <c r="K45" s="255" t="s">
        <v>311</v>
      </c>
      <c r="L45" s="256" t="s">
        <v>312</v>
      </c>
      <c r="M45" s="1" t="s">
        <v>313</v>
      </c>
    </row>
    <row r="46" spans="1:16" ht="14.4" x14ac:dyDescent="0.3">
      <c r="A46" t="s">
        <v>305</v>
      </c>
      <c r="B46" s="247">
        <f>B44-B45</f>
        <v>187135.75999999998</v>
      </c>
      <c r="C46" s="248">
        <f>B46/B44</f>
        <v>0.65532864754913123</v>
      </c>
      <c r="E46" s="257" t="s">
        <v>314</v>
      </c>
      <c r="F46" s="258">
        <v>50947.26</v>
      </c>
      <c r="G46" s="259">
        <v>4</v>
      </c>
      <c r="H46" s="260">
        <f>G46*F46</f>
        <v>203789.04</v>
      </c>
      <c r="I46" s="408">
        <v>100</v>
      </c>
      <c r="J46" s="262">
        <f>H46/I46</f>
        <v>2037.8904</v>
      </c>
      <c r="K46" s="409">
        <v>2.8</v>
      </c>
      <c r="L46" s="264">
        <f>K46*J46</f>
        <v>5706.0931199999995</v>
      </c>
      <c r="M46" s="265">
        <f>L46/F46*10000</f>
        <v>1119.9999999999998</v>
      </c>
    </row>
    <row r="47" spans="1:16" ht="14.4" x14ac:dyDescent="0.3">
      <c r="E47" s="257" t="s">
        <v>324</v>
      </c>
      <c r="F47" s="258">
        <f>B50-F46</f>
        <v>53456.07</v>
      </c>
      <c r="G47" s="259">
        <v>3</v>
      </c>
      <c r="H47" s="260">
        <f>G47*F47</f>
        <v>160368.21</v>
      </c>
      <c r="I47" s="408"/>
      <c r="J47" s="262">
        <f>H47/I46</f>
        <v>1603.6821</v>
      </c>
      <c r="K47" s="409"/>
      <c r="L47" s="264">
        <f>K46*J47</f>
        <v>4490.3098799999998</v>
      </c>
      <c r="M47" s="265">
        <f>L47/F47*10000</f>
        <v>839.99999999999989</v>
      </c>
    </row>
    <row r="48" spans="1:16" ht="14.4" x14ac:dyDescent="0.3">
      <c r="A48" t="s">
        <v>315</v>
      </c>
      <c r="B48" s="247">
        <f>B46</f>
        <v>187135.75999999998</v>
      </c>
      <c r="C48" s="248">
        <v>1</v>
      </c>
      <c r="E48" s="257" t="s">
        <v>325</v>
      </c>
      <c r="F48" s="278">
        <f>F46+F47</f>
        <v>104403.33</v>
      </c>
      <c r="G48" s="279"/>
      <c r="H48" s="279"/>
      <c r="I48" s="279"/>
      <c r="J48" s="279"/>
      <c r="K48" s="279"/>
      <c r="L48" s="280">
        <f>L46+L47</f>
        <v>10196.402999999998</v>
      </c>
      <c r="M48" s="281">
        <f>L48/F48*10000</f>
        <v>976.63580270859154</v>
      </c>
      <c r="P48" s="266">
        <f>L48</f>
        <v>10196.402999999998</v>
      </c>
    </row>
    <row r="49" spans="1:16" x14ac:dyDescent="0.25">
      <c r="A49" t="s">
        <v>316</v>
      </c>
      <c r="B49" s="247">
        <f>B50+B51</f>
        <v>112302.41</v>
      </c>
      <c r="C49" s="248">
        <f>B49/B48</f>
        <v>0.60011197218532697</v>
      </c>
      <c r="F49" s="1"/>
      <c r="G49" s="1"/>
      <c r="L49" s="1"/>
    </row>
    <row r="50" spans="1:16" x14ac:dyDescent="0.25">
      <c r="A50" t="s">
        <v>318</v>
      </c>
      <c r="B50" s="249">
        <v>104403.33</v>
      </c>
      <c r="C50" s="248">
        <f>B50/B48</f>
        <v>0.55790154698385819</v>
      </c>
    </row>
    <row r="51" spans="1:16" ht="14.4" x14ac:dyDescent="0.3">
      <c r="A51" t="s">
        <v>320</v>
      </c>
      <c r="B51" s="249">
        <v>7899.08</v>
      </c>
      <c r="C51" s="248">
        <f>B51/B48</f>
        <v>4.2210425201468713E-2</v>
      </c>
      <c r="F51" s="250" t="s">
        <v>317</v>
      </c>
      <c r="G51" s="11"/>
    </row>
    <row r="52" spans="1:16" ht="14.4" x14ac:dyDescent="0.3">
      <c r="A52" t="s">
        <v>328</v>
      </c>
      <c r="B52" s="249">
        <v>25487.15</v>
      </c>
      <c r="C52" s="248">
        <f>B52/B48</f>
        <v>0.13619604291558174</v>
      </c>
      <c r="F52" s="1" t="s">
        <v>313</v>
      </c>
      <c r="G52" s="407" t="s">
        <v>319</v>
      </c>
      <c r="H52" s="407"/>
      <c r="I52" s="256" t="s">
        <v>312</v>
      </c>
      <c r="J52" s="255" t="s">
        <v>311</v>
      </c>
      <c r="K52" s="1" t="s">
        <v>310</v>
      </c>
      <c r="L52" s="1" t="s">
        <v>309</v>
      </c>
      <c r="M52" s="1" t="s">
        <v>308</v>
      </c>
      <c r="N52" s="1" t="s">
        <v>307</v>
      </c>
    </row>
    <row r="53" spans="1:16" ht="14.4" x14ac:dyDescent="0.3">
      <c r="A53" t="s">
        <v>322</v>
      </c>
      <c r="B53" s="247">
        <f>B48-B49-B52</f>
        <v>49346.199999999975</v>
      </c>
      <c r="C53" s="248">
        <f>B53/B48</f>
        <v>0.26369198489909135</v>
      </c>
      <c r="F53" s="267">
        <v>600</v>
      </c>
      <c r="G53" s="404">
        <f>B50/10000</f>
        <v>10.440333000000001</v>
      </c>
      <c r="H53" s="404"/>
      <c r="I53" s="268">
        <f>G53*F53</f>
        <v>6264.1998000000003</v>
      </c>
      <c r="J53" s="269">
        <v>2.8</v>
      </c>
      <c r="K53" s="270">
        <f>I53/J53</f>
        <v>2237.2142142857147</v>
      </c>
      <c r="L53" s="271">
        <v>100</v>
      </c>
      <c r="M53" s="272">
        <f>K53*L53</f>
        <v>223721.42142857146</v>
      </c>
      <c r="N53" s="273">
        <f>(M53/G53)/10000</f>
        <v>2.1428571428571432</v>
      </c>
    </row>
    <row r="54" spans="1:16" s="283" customFormat="1" ht="14.4" thickBot="1" x14ac:dyDescent="0.3">
      <c r="B54" s="284"/>
      <c r="C54" s="285"/>
      <c r="H54" s="286"/>
      <c r="I54" s="286"/>
      <c r="K54" s="286"/>
      <c r="M54" s="287"/>
      <c r="N54" s="286"/>
    </row>
    <row r="56" spans="1:16" x14ac:dyDescent="0.25">
      <c r="A56" t="s">
        <v>332</v>
      </c>
      <c r="M56" s="11"/>
    </row>
    <row r="58" spans="1:16" x14ac:dyDescent="0.25">
      <c r="A58" t="s">
        <v>303</v>
      </c>
      <c r="B58" s="249">
        <v>269343.71000000002</v>
      </c>
      <c r="C58" s="248">
        <v>1</v>
      </c>
    </row>
    <row r="59" spans="1:16" x14ac:dyDescent="0.25">
      <c r="A59" t="s">
        <v>331</v>
      </c>
      <c r="B59" s="249">
        <v>99324.43</v>
      </c>
      <c r="C59" s="248">
        <f>B59/B58</f>
        <v>0.36876461677905892</v>
      </c>
    </row>
    <row r="60" spans="1:16" x14ac:dyDescent="0.25">
      <c r="A60" t="s">
        <v>305</v>
      </c>
      <c r="B60" s="247">
        <f>B58-B59</f>
        <v>170019.28000000003</v>
      </c>
      <c r="C60" s="248">
        <f>B60/B58</f>
        <v>0.63123538322094108</v>
      </c>
      <c r="L60" s="288"/>
    </row>
    <row r="61" spans="1:16" ht="14.4" x14ac:dyDescent="0.3">
      <c r="F61" s="250" t="s">
        <v>304</v>
      </c>
      <c r="G61" s="251"/>
      <c r="H61" s="252"/>
      <c r="I61" s="253"/>
      <c r="J61" s="254"/>
      <c r="K61" s="2"/>
    </row>
    <row r="62" spans="1:16" ht="14.4" x14ac:dyDescent="0.3">
      <c r="A62" t="s">
        <v>315</v>
      </c>
      <c r="B62" s="247">
        <f>B60</f>
        <v>170019.28000000003</v>
      </c>
      <c r="C62" s="248">
        <v>1</v>
      </c>
      <c r="F62" s="1" t="s">
        <v>306</v>
      </c>
      <c r="G62" s="1" t="s">
        <v>307</v>
      </c>
      <c r="H62" s="1" t="s">
        <v>308</v>
      </c>
      <c r="I62" s="1" t="s">
        <v>309</v>
      </c>
      <c r="J62" s="1" t="s">
        <v>310</v>
      </c>
      <c r="K62" s="255" t="s">
        <v>311</v>
      </c>
      <c r="L62" s="256" t="s">
        <v>312</v>
      </c>
      <c r="M62" s="1" t="s">
        <v>313</v>
      </c>
    </row>
    <row r="63" spans="1:16" ht="14.4" x14ac:dyDescent="0.3">
      <c r="A63" t="s">
        <v>316</v>
      </c>
      <c r="B63" s="247">
        <f>B64+B66+B65</f>
        <v>102029.4</v>
      </c>
      <c r="C63" s="248">
        <f>B63/B62</f>
        <v>0.60010488222276892</v>
      </c>
      <c r="E63" s="257" t="s">
        <v>324</v>
      </c>
      <c r="F63" s="258">
        <f>B64/2</f>
        <v>38350.584999999999</v>
      </c>
      <c r="G63" s="259">
        <v>3</v>
      </c>
      <c r="H63" s="260">
        <f>G63*F63</f>
        <v>115051.755</v>
      </c>
      <c r="I63" s="261">
        <v>100</v>
      </c>
      <c r="J63" s="262">
        <f>H63/I63</f>
        <v>1150.51755</v>
      </c>
      <c r="K63" s="263">
        <v>2.8</v>
      </c>
      <c r="L63" s="264">
        <f>K63*J63</f>
        <v>3221.4491399999997</v>
      </c>
      <c r="M63" s="265">
        <f>L63/F63*10000</f>
        <v>839.99999999999989</v>
      </c>
      <c r="P63" s="266">
        <f>L63</f>
        <v>3221.4491399999997</v>
      </c>
    </row>
    <row r="64" spans="1:16" x14ac:dyDescent="0.25">
      <c r="A64" t="s">
        <v>333</v>
      </c>
      <c r="B64" s="249">
        <v>76701.17</v>
      </c>
      <c r="C64" s="248">
        <f>B64/B62</f>
        <v>0.45113218924347864</v>
      </c>
    </row>
    <row r="65" spans="1:16" x14ac:dyDescent="0.25">
      <c r="A65" t="s">
        <v>334</v>
      </c>
      <c r="B65" s="249">
        <v>15292.54</v>
      </c>
      <c r="C65" s="248">
        <f>B65/B62</f>
        <v>8.9945916721915292E-2</v>
      </c>
    </row>
    <row r="66" spans="1:16" x14ac:dyDescent="0.25">
      <c r="A66" t="s">
        <v>335</v>
      </c>
      <c r="B66" s="249">
        <v>10035.69</v>
      </c>
      <c r="C66" s="248">
        <f>B66/B62</f>
        <v>5.9026776257375041E-2</v>
      </c>
    </row>
    <row r="67" spans="1:16" x14ac:dyDescent="0.25">
      <c r="A67" t="s">
        <v>328</v>
      </c>
      <c r="B67" s="249">
        <v>35523.64</v>
      </c>
      <c r="C67" s="248">
        <f>B67/B62</f>
        <v>0.20893889210682456</v>
      </c>
    </row>
    <row r="68" spans="1:16" x14ac:dyDescent="0.25">
      <c r="A68" t="s">
        <v>322</v>
      </c>
      <c r="B68" s="247">
        <f>B62-B63-B67</f>
        <v>32466.240000000034</v>
      </c>
      <c r="C68" s="248">
        <f>B68/B62</f>
        <v>0.19095622567040649</v>
      </c>
    </row>
    <row r="69" spans="1:16" ht="14.4" thickBot="1" x14ac:dyDescent="0.3"/>
    <row r="70" spans="1:16" s="274" customFormat="1" x14ac:dyDescent="0.25">
      <c r="B70" s="275"/>
      <c r="C70" s="276"/>
      <c r="H70" s="277"/>
      <c r="I70" s="277"/>
      <c r="K70" s="277"/>
      <c r="N70" s="277"/>
    </row>
    <row r="71" spans="1:16" x14ac:dyDescent="0.25">
      <c r="A71" t="s">
        <v>336</v>
      </c>
    </row>
    <row r="73" spans="1:16" x14ac:dyDescent="0.25">
      <c r="A73" t="s">
        <v>337</v>
      </c>
    </row>
    <row r="75" spans="1:16" x14ac:dyDescent="0.25">
      <c r="A75" t="s">
        <v>303</v>
      </c>
      <c r="B75" s="249">
        <v>250376.16</v>
      </c>
      <c r="C75" s="248">
        <v>1</v>
      </c>
    </row>
    <row r="76" spans="1:16" x14ac:dyDescent="0.25">
      <c r="A76" t="s">
        <v>305</v>
      </c>
      <c r="B76" s="247">
        <f>B75</f>
        <v>250376.16</v>
      </c>
      <c r="C76" s="248">
        <v>1</v>
      </c>
    </row>
    <row r="77" spans="1:16" x14ac:dyDescent="0.25">
      <c r="G77" s="1"/>
      <c r="N77"/>
    </row>
    <row r="78" spans="1:16" ht="14.4" x14ac:dyDescent="0.3">
      <c r="A78" t="s">
        <v>315</v>
      </c>
      <c r="B78" s="247">
        <f>B76</f>
        <v>250376.16</v>
      </c>
      <c r="C78" s="248">
        <v>1</v>
      </c>
      <c r="F78" s="1" t="s">
        <v>306</v>
      </c>
      <c r="G78" s="1" t="s">
        <v>338</v>
      </c>
      <c r="H78" s="255" t="s">
        <v>339</v>
      </c>
      <c r="I78" s="256" t="s">
        <v>312</v>
      </c>
      <c r="J78" s="1" t="s">
        <v>313</v>
      </c>
      <c r="N78"/>
    </row>
    <row r="79" spans="1:16" ht="14.4" x14ac:dyDescent="0.3">
      <c r="A79" t="s">
        <v>316</v>
      </c>
      <c r="B79" s="247">
        <f>B80+B81+B82</f>
        <v>130760.8</v>
      </c>
      <c r="C79" s="248">
        <f>B79/B78</f>
        <v>0.52225739063974785</v>
      </c>
      <c r="E79" s="246"/>
      <c r="F79" s="258">
        <f>B80</f>
        <v>128267.42</v>
      </c>
      <c r="G79" s="259">
        <v>208</v>
      </c>
      <c r="H79" s="289">
        <v>2.8</v>
      </c>
      <c r="I79" s="290">
        <f>H79*G79</f>
        <v>582.4</v>
      </c>
      <c r="J79" s="291">
        <f>I79/F79*10000</f>
        <v>45.40513873281305</v>
      </c>
      <c r="N79"/>
      <c r="P79" s="292">
        <f>I79</f>
        <v>582.4</v>
      </c>
    </row>
    <row r="80" spans="1:16" x14ac:dyDescent="0.25">
      <c r="A80" t="s">
        <v>318</v>
      </c>
      <c r="B80" s="249">
        <v>128267.42</v>
      </c>
      <c r="C80" s="248">
        <f>B80/B78</f>
        <v>0.5122988546513374</v>
      </c>
      <c r="G80" s="1"/>
      <c r="N80"/>
    </row>
    <row r="81" spans="1:16" x14ac:dyDescent="0.25">
      <c r="A81" t="s">
        <v>340</v>
      </c>
      <c r="B81" s="249">
        <v>1235</v>
      </c>
      <c r="C81" s="248">
        <f>B81/B78</f>
        <v>4.9325782454687382E-3</v>
      </c>
    </row>
    <row r="82" spans="1:16" x14ac:dyDescent="0.25">
      <c r="A82" t="s">
        <v>341</v>
      </c>
      <c r="B82" s="249">
        <v>1258.3800000000001</v>
      </c>
      <c r="C82" s="248">
        <f>B82/B78</f>
        <v>5.0259577429416606E-3</v>
      </c>
    </row>
    <row r="83" spans="1:16" x14ac:dyDescent="0.25">
      <c r="A83" t="s">
        <v>321</v>
      </c>
      <c r="B83" s="249">
        <v>31796.02</v>
      </c>
      <c r="C83" s="248">
        <f>B83/B78</f>
        <v>0.12699300125059829</v>
      </c>
    </row>
    <row r="84" spans="1:16" x14ac:dyDescent="0.25">
      <c r="A84" t="s">
        <v>322</v>
      </c>
      <c r="B84" s="247">
        <f>B78-B79-B83</f>
        <v>87819.34</v>
      </c>
      <c r="C84" s="248">
        <f>B84/B78</f>
        <v>0.35074960810965389</v>
      </c>
    </row>
    <row r="85" spans="1:16" ht="14.4" thickBot="1" x14ac:dyDescent="0.3"/>
    <row r="86" spans="1:16" s="274" customFormat="1" x14ac:dyDescent="0.25">
      <c r="B86" s="275"/>
      <c r="C86" s="276"/>
      <c r="H86" s="277"/>
      <c r="I86" s="277"/>
      <c r="K86" s="277"/>
      <c r="N86" s="277"/>
    </row>
    <row r="87" spans="1:16" x14ac:dyDescent="0.25">
      <c r="A87" t="s">
        <v>342</v>
      </c>
    </row>
    <row r="89" spans="1:16" x14ac:dyDescent="0.25">
      <c r="A89" t="s">
        <v>303</v>
      </c>
      <c r="B89" s="249">
        <v>192470.17</v>
      </c>
      <c r="C89" s="248">
        <v>1</v>
      </c>
    </row>
    <row r="90" spans="1:16" x14ac:dyDescent="0.25">
      <c r="A90" t="s">
        <v>305</v>
      </c>
      <c r="B90" s="247">
        <f>B89</f>
        <v>192470.17</v>
      </c>
      <c r="C90" s="248">
        <v>1</v>
      </c>
    </row>
    <row r="92" spans="1:16" ht="14.4" x14ac:dyDescent="0.3">
      <c r="A92" t="s">
        <v>315</v>
      </c>
      <c r="B92" s="247">
        <f>B90</f>
        <v>192470.17</v>
      </c>
      <c r="C92" s="248">
        <v>1</v>
      </c>
      <c r="F92" s="1" t="s">
        <v>306</v>
      </c>
      <c r="G92" s="1" t="s">
        <v>338</v>
      </c>
      <c r="H92" s="255" t="s">
        <v>339</v>
      </c>
      <c r="I92" s="256" t="s">
        <v>312</v>
      </c>
      <c r="J92" s="1" t="s">
        <v>313</v>
      </c>
    </row>
    <row r="93" spans="1:16" ht="14.4" x14ac:dyDescent="0.3">
      <c r="A93" t="s">
        <v>316</v>
      </c>
      <c r="B93" s="247">
        <f>B94+B95</f>
        <v>76835.08</v>
      </c>
      <c r="C93" s="248">
        <f>B93/B92</f>
        <v>0.39920513396959123</v>
      </c>
      <c r="F93" s="258">
        <f>B94</f>
        <v>75635.08</v>
      </c>
      <c r="G93" s="259">
        <v>131</v>
      </c>
      <c r="H93" s="289">
        <v>2.8</v>
      </c>
      <c r="I93" s="290">
        <f>H93*G93</f>
        <v>366.79999999999995</v>
      </c>
      <c r="J93" s="291">
        <f>I93/F93*10000</f>
        <v>48.496015341029576</v>
      </c>
      <c r="P93" s="292">
        <f>I93</f>
        <v>366.79999999999995</v>
      </c>
    </row>
    <row r="94" spans="1:16" x14ac:dyDescent="0.25">
      <c r="A94" t="s">
        <v>318</v>
      </c>
      <c r="B94" s="249">
        <v>75635.08</v>
      </c>
      <c r="C94" s="248">
        <f>B94/B92</f>
        <v>0.39297040159521862</v>
      </c>
    </row>
    <row r="95" spans="1:16" x14ac:dyDescent="0.25">
      <c r="A95" t="s">
        <v>340</v>
      </c>
      <c r="B95" s="249">
        <v>1200</v>
      </c>
      <c r="C95" s="248">
        <f>B95/B92</f>
        <v>6.2347323743726099E-3</v>
      </c>
    </row>
    <row r="96" spans="1:16" ht="14.4" x14ac:dyDescent="0.3">
      <c r="A96" t="s">
        <v>321</v>
      </c>
      <c r="B96" s="249">
        <v>36913.449999999997</v>
      </c>
      <c r="C96" s="248">
        <f>B96/B92</f>
        <v>0.19178790147065383</v>
      </c>
      <c r="M96" s="410" t="s">
        <v>354</v>
      </c>
      <c r="N96" s="410"/>
      <c r="O96" s="410"/>
      <c r="P96" s="308">
        <f>P93+P79+P63+P48+P34+P20+P5</f>
        <v>35964.294099999999</v>
      </c>
    </row>
    <row r="97" spans="1:6" x14ac:dyDescent="0.25">
      <c r="A97" t="s">
        <v>322</v>
      </c>
      <c r="B97" s="247">
        <f>B92-B93-B96</f>
        <v>78721.640000000014</v>
      </c>
      <c r="C97" s="248">
        <f>B97/B92</f>
        <v>0.40900696455975494</v>
      </c>
    </row>
    <row r="101" spans="1:6" x14ac:dyDescent="0.25">
      <c r="B101" s="309">
        <f>SUM(B89,B75,B58,B44,B31,B16,B3)</f>
        <v>1481988.65</v>
      </c>
    </row>
    <row r="102" spans="1:6" x14ac:dyDescent="0.25">
      <c r="B102" s="247">
        <f>B101/(100*100)</f>
        <v>148.19886499999998</v>
      </c>
    </row>
    <row r="103" spans="1:6" x14ac:dyDescent="0.25">
      <c r="B103" s="247">
        <f>P96/B102</f>
        <v>242.67590780806589</v>
      </c>
      <c r="C103" s="310" t="s">
        <v>369</v>
      </c>
    </row>
    <row r="106" spans="1:6" ht="16.8" customHeight="1" x14ac:dyDescent="0.25">
      <c r="A106" s="412" t="s">
        <v>362</v>
      </c>
      <c r="B106" s="412" t="s">
        <v>357</v>
      </c>
      <c r="C106" s="412" t="s">
        <v>358</v>
      </c>
      <c r="D106" s="412" t="s">
        <v>361</v>
      </c>
      <c r="E106" s="411" t="s">
        <v>353</v>
      </c>
      <c r="F106" s="411"/>
    </row>
    <row r="107" spans="1:6" ht="16.8" customHeight="1" x14ac:dyDescent="0.25">
      <c r="A107" s="413"/>
      <c r="B107" s="413"/>
      <c r="C107" s="413"/>
      <c r="D107" s="413"/>
      <c r="E107" s="324" t="s">
        <v>355</v>
      </c>
      <c r="F107" s="324" t="s">
        <v>356</v>
      </c>
    </row>
    <row r="108" spans="1:6" ht="16.8" customHeight="1" x14ac:dyDescent="0.25">
      <c r="A108" s="3" t="str">
        <f>Empreendimentos!A8</f>
        <v>AL'DORA TOWN - VERSAILLES</v>
      </c>
      <c r="B108" s="4">
        <f>Empreendimentos!L8</f>
        <v>14</v>
      </c>
      <c r="C108" s="313">
        <v>150</v>
      </c>
      <c r="D108" s="314">
        <v>2.8</v>
      </c>
      <c r="E108" s="313">
        <f>B108*C108*D108</f>
        <v>5880</v>
      </c>
      <c r="F108" s="313">
        <f>P5</f>
        <v>4190.1899200000007</v>
      </c>
    </row>
    <row r="109" spans="1:6" ht="16.8" customHeight="1" x14ac:dyDescent="0.25">
      <c r="A109" s="3" t="str">
        <f>Empreendimentos!A41</f>
        <v>JARDIM CHAMBORD</v>
      </c>
      <c r="B109" s="4"/>
      <c r="C109" s="313">
        <f>Empreendimentos!J42</f>
        <v>208</v>
      </c>
      <c r="D109" s="314">
        <v>2.8</v>
      </c>
      <c r="E109" s="313">
        <f>C109*D109</f>
        <v>582.4</v>
      </c>
      <c r="F109" s="313">
        <f>P79</f>
        <v>582.4</v>
      </c>
    </row>
    <row r="110" spans="1:6" ht="16.8" customHeight="1" x14ac:dyDescent="0.25">
      <c r="A110" s="3" t="str">
        <f>Empreendimentos!A57</f>
        <v>AL'DORA TOWN</v>
      </c>
      <c r="B110" s="4">
        <f>Empreendimentos!L58+Empreendimentos!L67+Empreendimentos!L69</f>
        <v>13</v>
      </c>
      <c r="C110" s="313">
        <v>150</v>
      </c>
      <c r="D110" s="314">
        <v>2.8</v>
      </c>
      <c r="E110" s="313">
        <f t="shared" ref="E110:E115" si="0">B110*C110*D110</f>
        <v>5460</v>
      </c>
      <c r="F110" s="313">
        <f>P20</f>
        <v>4278.1309199999996</v>
      </c>
    </row>
    <row r="111" spans="1:6" ht="16.8" customHeight="1" x14ac:dyDescent="0.25">
      <c r="A111" s="3" t="str">
        <f>Empreendimentos!A72</f>
        <v>JARDIM 03</v>
      </c>
      <c r="B111" s="4"/>
      <c r="C111" s="313">
        <f>Empreendimentos!J73</f>
        <v>180</v>
      </c>
      <c r="D111" s="314">
        <v>2.8</v>
      </c>
      <c r="E111" s="313">
        <f>C111*D111</f>
        <v>503.99999999999994</v>
      </c>
      <c r="F111" s="313">
        <f>P93</f>
        <v>366.79999999999995</v>
      </c>
    </row>
    <row r="112" spans="1:6" ht="16.8" customHeight="1" x14ac:dyDescent="0.25">
      <c r="A112" s="3" t="str">
        <f>Empreendimentos!A76</f>
        <v>AL'DORA PARK</v>
      </c>
      <c r="B112" s="4">
        <f>Empreendimentos!L76-Empreendimentos!L83</f>
        <v>47</v>
      </c>
      <c r="C112" s="313">
        <v>150</v>
      </c>
      <c r="D112" s="314">
        <v>2.8</v>
      </c>
      <c r="E112" s="313">
        <f t="shared" si="0"/>
        <v>19740</v>
      </c>
      <c r="F112" s="313">
        <f>P34</f>
        <v>13128.921119999999</v>
      </c>
    </row>
    <row r="113" spans="1:6" ht="16.8" customHeight="1" x14ac:dyDescent="0.25">
      <c r="A113" s="3" t="str">
        <f>Empreendimentos!A104</f>
        <v>AL'DORA VITTA</v>
      </c>
      <c r="B113" s="4">
        <f>Empreendimentos!L104-Empreendimentos!L105</f>
        <v>30</v>
      </c>
      <c r="C113" s="313">
        <v>150</v>
      </c>
      <c r="D113" s="314">
        <v>2.8</v>
      </c>
      <c r="E113" s="313">
        <f t="shared" si="0"/>
        <v>12600</v>
      </c>
      <c r="F113" s="313">
        <f>P48</f>
        <v>10196.402999999998</v>
      </c>
    </row>
    <row r="114" spans="1:6" ht="16.8" customHeight="1" x14ac:dyDescent="0.25">
      <c r="A114" s="3" t="str">
        <f>Empreendimentos!A124</f>
        <v>AL'DORA NEXUS GENOVA</v>
      </c>
      <c r="B114" s="4">
        <f>Empreendimentos!L126</f>
        <v>5</v>
      </c>
      <c r="C114" s="313">
        <f>150/24*4</f>
        <v>25</v>
      </c>
      <c r="D114" s="314">
        <v>2.8</v>
      </c>
      <c r="E114" s="313">
        <f t="shared" si="0"/>
        <v>350</v>
      </c>
      <c r="F114" s="313"/>
    </row>
    <row r="115" spans="1:6" ht="16.8" customHeight="1" x14ac:dyDescent="0.25">
      <c r="A115" s="3" t="str">
        <f>Empreendimentos!A130</f>
        <v>AL'DORA NEXUS</v>
      </c>
      <c r="B115" s="4">
        <f>Empreendimentos!L130</f>
        <v>24</v>
      </c>
      <c r="C115" s="313">
        <f>(15*150+9*60)/24</f>
        <v>116.25</v>
      </c>
      <c r="D115" s="314">
        <v>2.8</v>
      </c>
      <c r="E115" s="313">
        <f t="shared" si="0"/>
        <v>7811.9999999999991</v>
      </c>
      <c r="F115" s="313">
        <f>P63</f>
        <v>3221.4491399999997</v>
      </c>
    </row>
    <row r="116" spans="1:6" ht="16.8" customHeight="1" x14ac:dyDescent="0.25">
      <c r="A116" s="3" t="str">
        <f>Empreendimentos!A152</f>
        <v>JARDIM 04</v>
      </c>
      <c r="B116" s="4"/>
      <c r="C116" s="313">
        <f>Empreendimentos!J153</f>
        <v>260</v>
      </c>
      <c r="D116" s="314">
        <v>2.8</v>
      </c>
      <c r="E116" s="313">
        <f>C116*D116</f>
        <v>728</v>
      </c>
      <c r="F116" s="313"/>
    </row>
    <row r="117" spans="1:6" ht="16.8" customHeight="1" x14ac:dyDescent="0.25">
      <c r="A117" s="3" t="str">
        <f>Empreendimentos!A156</f>
        <v>JARDIM 05</v>
      </c>
      <c r="B117" s="4"/>
      <c r="C117" s="313">
        <f>Empreendimentos!J157</f>
        <v>290</v>
      </c>
      <c r="D117" s="314">
        <v>2.8</v>
      </c>
      <c r="E117" s="313">
        <f>C117*D117</f>
        <v>812</v>
      </c>
      <c r="F117" s="313"/>
    </row>
    <row r="118" spans="1:6" ht="16.8" customHeight="1" x14ac:dyDescent="0.25">
      <c r="A118" s="5"/>
      <c r="B118" s="315"/>
      <c r="C118" s="316"/>
      <c r="D118" s="317"/>
      <c r="E118" s="318">
        <f>SUM(E108:E117)</f>
        <v>54468.4</v>
      </c>
      <c r="F118" s="318">
        <f>SUM(F108:F117)</f>
        <v>35964.294099999992</v>
      </c>
    </row>
    <row r="119" spans="1:6" ht="16.8" customHeight="1" x14ac:dyDescent="0.25">
      <c r="A119" s="319"/>
      <c r="B119" s="320"/>
      <c r="C119" s="329"/>
      <c r="D119" s="330" t="s">
        <v>359</v>
      </c>
      <c r="E119" s="329">
        <f>(B101+Empreendimentos!D153+Empreendimentos!D157)/(100*100)</f>
        <v>195.21184899999997</v>
      </c>
      <c r="F119" s="329">
        <f>B102</f>
        <v>148.19886499999998</v>
      </c>
    </row>
    <row r="120" spans="1:6" ht="16.8" customHeight="1" x14ac:dyDescent="0.25">
      <c r="A120" s="321"/>
      <c r="B120" s="322"/>
      <c r="C120" s="331"/>
      <c r="D120" s="331" t="s">
        <v>360</v>
      </c>
      <c r="E120" s="323">
        <f>E118/E119</f>
        <v>279.0219972764051</v>
      </c>
      <c r="F120" s="323">
        <f>F118/F119</f>
        <v>242.67590780806583</v>
      </c>
    </row>
    <row r="123" spans="1:6" ht="18.600000000000001" customHeight="1" x14ac:dyDescent="0.25">
      <c r="A123" s="405" t="s">
        <v>363</v>
      </c>
      <c r="B123" s="405" t="s">
        <v>365</v>
      </c>
      <c r="C123" s="405" t="s">
        <v>366</v>
      </c>
      <c r="D123" s="405" t="s">
        <v>377</v>
      </c>
    </row>
    <row r="124" spans="1:6" ht="18.600000000000001" customHeight="1" x14ac:dyDescent="0.25">
      <c r="A124" s="406"/>
      <c r="B124" s="406"/>
      <c r="C124" s="406"/>
      <c r="D124" s="406"/>
    </row>
    <row r="125" spans="1:6" ht="18.600000000000001" customHeight="1" x14ac:dyDescent="0.25">
      <c r="A125" s="3" t="str">
        <f>A108</f>
        <v>AL'DORA TOWN - VERSAILLES</v>
      </c>
      <c r="B125" s="4">
        <f>Empreendimentos!D36</f>
        <v>17160</v>
      </c>
      <c r="C125" s="4"/>
      <c r="D125" s="4"/>
    </row>
    <row r="126" spans="1:6" ht="18.600000000000001" customHeight="1" x14ac:dyDescent="0.25">
      <c r="A126" s="3" t="str">
        <f t="shared" ref="A126:A133" si="1">A109</f>
        <v>JARDIM CHAMBORD</v>
      </c>
      <c r="B126" s="4"/>
      <c r="C126" s="326"/>
      <c r="D126" s="326"/>
    </row>
    <row r="127" spans="1:6" ht="18.600000000000001" customHeight="1" x14ac:dyDescent="0.25">
      <c r="A127" s="3" t="str">
        <f t="shared" si="1"/>
        <v>AL'DORA TOWN</v>
      </c>
      <c r="B127" s="4">
        <f>(Empreendimentos!D58+Empreendimentos!D60+Empreendimentos!D62+Empreendimentos!D67+Empreendimentos!D69)*9%</f>
        <v>5828.6895209999993</v>
      </c>
      <c r="C127" s="326"/>
      <c r="D127" s="326"/>
    </row>
    <row r="128" spans="1:6" ht="18.600000000000001" customHeight="1" x14ac:dyDescent="0.25">
      <c r="A128" s="3" t="str">
        <f t="shared" si="1"/>
        <v>JARDIM 03</v>
      </c>
      <c r="B128" s="4"/>
      <c r="C128" s="326"/>
      <c r="D128" s="326"/>
    </row>
    <row r="129" spans="1:7" ht="18.600000000000001" customHeight="1" x14ac:dyDescent="0.25">
      <c r="A129" s="3" t="str">
        <f t="shared" si="1"/>
        <v>AL'DORA PARK</v>
      </c>
      <c r="B129" s="4">
        <f>Empreendimentos!D101</f>
        <v>30160.271100000002</v>
      </c>
      <c r="C129" s="326"/>
      <c r="D129" s="326"/>
    </row>
    <row r="130" spans="1:7" ht="18.600000000000001" customHeight="1" x14ac:dyDescent="0.25">
      <c r="A130" s="3" t="str">
        <f t="shared" si="1"/>
        <v>AL'DORA VITTA</v>
      </c>
      <c r="B130" s="4">
        <f>Empreendimentos!D107</f>
        <v>4919.1000000000004</v>
      </c>
      <c r="C130" s="326"/>
      <c r="D130" s="326"/>
    </row>
    <row r="131" spans="1:7" ht="18.600000000000001" customHeight="1" x14ac:dyDescent="0.25">
      <c r="A131" s="3" t="str">
        <f t="shared" si="1"/>
        <v>AL'DORA NEXUS GENOVA</v>
      </c>
      <c r="B131" s="4"/>
      <c r="C131" s="326"/>
      <c r="D131" s="326"/>
    </row>
    <row r="132" spans="1:7" ht="18.600000000000001" customHeight="1" x14ac:dyDescent="0.25">
      <c r="A132" s="3" t="str">
        <f t="shared" si="1"/>
        <v>AL'DORA NEXUS</v>
      </c>
      <c r="B132" s="4">
        <f>Empreendimentos!D141+Empreendimentos!D135</f>
        <v>9994.8302000000003</v>
      </c>
      <c r="C132" s="326"/>
      <c r="D132" s="326"/>
    </row>
    <row r="133" spans="1:7" ht="18.600000000000001" customHeight="1" x14ac:dyDescent="0.25">
      <c r="A133" s="3" t="str">
        <f t="shared" si="1"/>
        <v>JARDIM 04</v>
      </c>
      <c r="B133" s="4"/>
      <c r="C133" s="326"/>
      <c r="D133" s="326"/>
    </row>
    <row r="134" spans="1:7" ht="18.600000000000001" customHeight="1" x14ac:dyDescent="0.25">
      <c r="A134" s="3" t="str">
        <f>A117</f>
        <v>JARDIM 05</v>
      </c>
      <c r="B134" s="4"/>
      <c r="C134" s="326"/>
      <c r="D134" s="326"/>
    </row>
    <row r="135" spans="1:7" ht="18.600000000000001" customHeight="1" x14ac:dyDescent="0.25">
      <c r="A135" s="3" t="s">
        <v>364</v>
      </c>
      <c r="B135" s="4"/>
      <c r="C135" s="4">
        <f>E143</f>
        <v>132010.99116999999</v>
      </c>
      <c r="D135" s="4">
        <f>E141</f>
        <v>286775.89689999999</v>
      </c>
    </row>
    <row r="136" spans="1:7" ht="18.600000000000001" customHeight="1" x14ac:dyDescent="0.25">
      <c r="A136" s="327" t="s">
        <v>367</v>
      </c>
      <c r="B136" s="325">
        <f>B137/(100*100)</f>
        <v>6.8062890821000011</v>
      </c>
      <c r="C136" s="325">
        <f t="shared" ref="C136:D136" si="2">C137/(100*100)</f>
        <v>13.201099117</v>
      </c>
      <c r="D136" s="325">
        <f t="shared" si="2"/>
        <v>28.677589689999998</v>
      </c>
    </row>
    <row r="137" spans="1:7" ht="18.600000000000001" customHeight="1" x14ac:dyDescent="0.25">
      <c r="A137" s="332" t="s">
        <v>368</v>
      </c>
      <c r="B137" s="328">
        <f>SUM(B125:B135)</f>
        <v>68062.890821000008</v>
      </c>
      <c r="C137" s="328">
        <f>SUM(C125:C135)</f>
        <v>132010.99116999999</v>
      </c>
      <c r="D137" s="328">
        <f>SUM(D125:D135)</f>
        <v>286775.89689999999</v>
      </c>
    </row>
    <row r="139" spans="1:7" x14ac:dyDescent="0.25">
      <c r="E139" s="11">
        <f>1670*50</f>
        <v>83500</v>
      </c>
      <c r="F139" t="s">
        <v>372</v>
      </c>
    </row>
    <row r="140" spans="1:7" x14ac:dyDescent="0.25">
      <c r="A140" t="s">
        <v>370</v>
      </c>
      <c r="B140" s="247">
        <f>3336.44+355.24</f>
        <v>3691.6800000000003</v>
      </c>
      <c r="E140" s="11">
        <v>203275.89689999999</v>
      </c>
      <c r="F140" t="s">
        <v>373</v>
      </c>
    </row>
    <row r="141" spans="1:7" x14ac:dyDescent="0.25">
      <c r="A141" t="s">
        <v>371</v>
      </c>
      <c r="B141" s="247">
        <f>3724.53+747.9+1502*2+1645.74+600+990</f>
        <v>10712.17</v>
      </c>
      <c r="E141" s="33">
        <f>SUM(E139:E140)</f>
        <v>286775.89689999999</v>
      </c>
      <c r="F141" s="47" t="s">
        <v>374</v>
      </c>
      <c r="G141" s="47"/>
    </row>
    <row r="142" spans="1:7" x14ac:dyDescent="0.25">
      <c r="E142" s="11"/>
    </row>
    <row r="143" spans="1:7" x14ac:dyDescent="0.25">
      <c r="E143" s="11">
        <f>67225.4723+(25487.1472-4919.1)+21473.6052+22753.8613-(5.43583+4.559)</f>
        <v>132010.99116999999</v>
      </c>
      <c r="F143" t="s">
        <v>375</v>
      </c>
    </row>
    <row r="144" spans="1:7" x14ac:dyDescent="0.25">
      <c r="B144" s="247">
        <f>E119*100*100</f>
        <v>1952118.4899999998</v>
      </c>
      <c r="E144" s="11">
        <f>B137</f>
        <v>68062.890821000008</v>
      </c>
      <c r="F144" t="s">
        <v>376</v>
      </c>
    </row>
    <row r="145" spans="5:6" x14ac:dyDescent="0.25">
      <c r="E145" s="33">
        <f>SUM(E143:E144)</f>
        <v>200073.881991</v>
      </c>
      <c r="F145" s="47" t="s">
        <v>376</v>
      </c>
    </row>
    <row r="147" spans="5:6" x14ac:dyDescent="0.25">
      <c r="E147" s="11">
        <f>E145+E141</f>
        <v>486849.77889099997</v>
      </c>
    </row>
  </sheetData>
  <mergeCells count="24">
    <mergeCell ref="A106:A107"/>
    <mergeCell ref="A123:A124"/>
    <mergeCell ref="B123:B124"/>
    <mergeCell ref="C123:C124"/>
    <mergeCell ref="G52:H52"/>
    <mergeCell ref="G53:H53"/>
    <mergeCell ref="K46:K47"/>
    <mergeCell ref="M96:O96"/>
    <mergeCell ref="E106:F106"/>
    <mergeCell ref="B106:B107"/>
    <mergeCell ref="C106:C107"/>
    <mergeCell ref="D106:D107"/>
    <mergeCell ref="K18:K19"/>
    <mergeCell ref="G24:H24"/>
    <mergeCell ref="I32:I33"/>
    <mergeCell ref="K32:K33"/>
    <mergeCell ref="G38:H38"/>
    <mergeCell ref="G25:H25"/>
    <mergeCell ref="D123:D124"/>
    <mergeCell ref="G8:H8"/>
    <mergeCell ref="G9:H9"/>
    <mergeCell ref="I18:I19"/>
    <mergeCell ref="G39:H39"/>
    <mergeCell ref="I46:I47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EE13-40C4-432C-8ADD-2A3B2A3C25A6}">
  <dimension ref="A1:F28"/>
  <sheetViews>
    <sheetView topLeftCell="A2" workbookViewId="0">
      <selection activeCell="K16" sqref="K16"/>
    </sheetView>
  </sheetViews>
  <sheetFormatPr defaultRowHeight="13.8" x14ac:dyDescent="0.25"/>
  <cols>
    <col min="1" max="1" width="19.69921875" style="293" customWidth="1"/>
    <col min="2" max="6" width="11" style="293" customWidth="1"/>
    <col min="7" max="16384" width="8.796875" style="293"/>
  </cols>
  <sheetData>
    <row r="1" spans="1:6" ht="16.8" customHeight="1" x14ac:dyDescent="0.3">
      <c r="A1" s="294" t="s">
        <v>349</v>
      </c>
    </row>
    <row r="2" spans="1:6" s="110" customFormat="1" ht="16.8" customHeight="1" x14ac:dyDescent="0.25">
      <c r="A2" s="295" t="s">
        <v>350</v>
      </c>
    </row>
    <row r="3" spans="1:6" s="110" customFormat="1" ht="16.8" customHeight="1" x14ac:dyDescent="0.25">
      <c r="A3" s="295" t="s">
        <v>351</v>
      </c>
    </row>
    <row r="4" spans="1:6" s="110" customFormat="1" ht="16.8" customHeight="1" x14ac:dyDescent="0.25">
      <c r="A4" s="295" t="s">
        <v>352</v>
      </c>
    </row>
    <row r="5" spans="1:6" s="110" customFormat="1" ht="16.8" customHeight="1" x14ac:dyDescent="0.25">
      <c r="A5" s="295"/>
    </row>
    <row r="6" spans="1:6" s="110" customFormat="1" ht="16.8" customHeight="1" x14ac:dyDescent="0.25">
      <c r="C6" s="414">
        <v>2017</v>
      </c>
      <c r="D6" s="414"/>
      <c r="E6" s="414">
        <v>2025</v>
      </c>
      <c r="F6" s="414"/>
    </row>
    <row r="7" spans="1:6" s="110" customFormat="1" ht="16.8" customHeight="1" x14ac:dyDescent="0.25">
      <c r="A7" s="296" t="s">
        <v>343</v>
      </c>
      <c r="B7" s="296" t="s">
        <v>344</v>
      </c>
      <c r="C7" s="296" t="s">
        <v>348</v>
      </c>
      <c r="D7" s="296" t="s">
        <v>347</v>
      </c>
      <c r="E7" s="296" t="s">
        <v>348</v>
      </c>
      <c r="F7" s="296" t="s">
        <v>347</v>
      </c>
    </row>
    <row r="8" spans="1:6" s="110" customFormat="1" ht="16.8" customHeight="1" x14ac:dyDescent="0.25">
      <c r="A8" s="297" t="s">
        <v>345</v>
      </c>
      <c r="B8" s="298">
        <v>7.9000000000000001E-2</v>
      </c>
      <c r="C8" s="299">
        <v>11816</v>
      </c>
      <c r="D8" s="298">
        <f>C8/C10</f>
        <v>0.11392868850878377</v>
      </c>
      <c r="E8" s="299">
        <f>C8/$C$12*$E$12</f>
        <v>12943.872991953434</v>
      </c>
      <c r="F8" s="298">
        <f>E8/E10</f>
        <v>0.11392868850878377</v>
      </c>
    </row>
    <row r="9" spans="1:6" s="110" customFormat="1" ht="16.8" customHeight="1" x14ac:dyDescent="0.25">
      <c r="A9" s="297" t="s">
        <v>346</v>
      </c>
      <c r="B9" s="298">
        <v>2.4E-2</v>
      </c>
      <c r="C9" s="299">
        <v>91898</v>
      </c>
      <c r="D9" s="298">
        <f>C9/C10</f>
        <v>0.88607131149121621</v>
      </c>
      <c r="E9" s="299">
        <f>C9/$C$12*$E$12</f>
        <v>100669.94246907048</v>
      </c>
      <c r="F9" s="298">
        <f>E9/E10</f>
        <v>0.88607131149121621</v>
      </c>
    </row>
    <row r="10" spans="1:6" s="110" customFormat="1" ht="16.8" customHeight="1" x14ac:dyDescent="0.25">
      <c r="A10" s="297"/>
      <c r="B10" s="298"/>
      <c r="C10" s="300">
        <f>SUM(C8:C9)</f>
        <v>103714</v>
      </c>
      <c r="D10" s="301">
        <f>SUM(D8:D9)</f>
        <v>1</v>
      </c>
      <c r="E10" s="300">
        <f>SUM(E8:E9)</f>
        <v>113613.81546102391</v>
      </c>
      <c r="F10" s="301">
        <f>SUM(F8:F9)</f>
        <v>1</v>
      </c>
    </row>
    <row r="11" spans="1:6" s="110" customFormat="1" ht="16.8" customHeight="1" x14ac:dyDescent="0.25">
      <c r="A11" s="297"/>
      <c r="B11" s="298"/>
      <c r="C11" s="299"/>
      <c r="D11" s="297"/>
      <c r="E11" s="299"/>
      <c r="F11" s="297"/>
    </row>
    <row r="12" spans="1:6" s="110" customFormat="1" ht="16.8" customHeight="1" x14ac:dyDescent="0.25">
      <c r="A12" s="302" t="s">
        <v>353</v>
      </c>
      <c r="B12" s="303"/>
      <c r="C12" s="304">
        <v>695452</v>
      </c>
      <c r="D12" s="305"/>
      <c r="E12" s="304">
        <v>761835</v>
      </c>
      <c r="F12" s="305"/>
    </row>
    <row r="13" spans="1:6" s="110" customFormat="1" ht="16.8" customHeight="1" x14ac:dyDescent="0.25">
      <c r="C13" s="306"/>
      <c r="E13" s="307"/>
    </row>
    <row r="14" spans="1:6" s="110" customFormat="1" ht="16.8" customHeight="1" x14ac:dyDescent="0.25">
      <c r="C14" s="15"/>
      <c r="E14" s="307"/>
    </row>
    <row r="15" spans="1:6" s="110" customFormat="1" ht="16.8" customHeight="1" x14ac:dyDescent="0.25">
      <c r="C15" s="15"/>
    </row>
    <row r="16" spans="1:6" s="110" customFormat="1" ht="16.8" customHeight="1" x14ac:dyDescent="0.25">
      <c r="C16" s="15"/>
    </row>
    <row r="17" spans="3:3" s="110" customFormat="1" ht="16.8" customHeight="1" x14ac:dyDescent="0.25">
      <c r="C17" s="15"/>
    </row>
    <row r="18" spans="3:3" s="110" customFormat="1" ht="16.8" customHeight="1" x14ac:dyDescent="0.25"/>
    <row r="19" spans="3:3" s="110" customFormat="1" ht="16.8" customHeight="1" x14ac:dyDescent="0.25"/>
    <row r="20" spans="3:3" s="110" customFormat="1" ht="16.8" customHeight="1" x14ac:dyDescent="0.25"/>
    <row r="21" spans="3:3" s="110" customFormat="1" ht="16.8" customHeight="1" x14ac:dyDescent="0.25"/>
    <row r="22" spans="3:3" s="110" customFormat="1" ht="16.8" customHeight="1" x14ac:dyDescent="0.25"/>
    <row r="23" spans="3:3" s="110" customFormat="1" ht="16.8" customHeight="1" x14ac:dyDescent="0.25"/>
    <row r="24" spans="3:3" ht="16.8" customHeight="1" x14ac:dyDescent="0.25"/>
    <row r="25" spans="3:3" ht="16.8" customHeight="1" x14ac:dyDescent="0.25"/>
    <row r="26" spans="3:3" ht="16.8" customHeight="1" x14ac:dyDescent="0.25"/>
    <row r="27" spans="3:3" ht="16.8" customHeight="1" x14ac:dyDescent="0.25"/>
    <row r="28" spans="3:3" ht="16.8" customHeight="1" x14ac:dyDescent="0.25"/>
  </sheetData>
  <mergeCells count="2">
    <mergeCell ref="C6:D6"/>
    <mergeCell ref="E6:F6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3F1C-A8C0-47D7-9147-0C1608A29962}">
  <sheetPr>
    <tabColor rgb="FF00B0F0"/>
  </sheetPr>
  <dimension ref="A1:BC55"/>
  <sheetViews>
    <sheetView showGridLines="0" showZeros="0" topLeftCell="O8" workbookViewId="0">
      <pane ySplit="2" topLeftCell="A39" activePane="bottomLeft" state="frozenSplit"/>
      <selection activeCell="A8" sqref="A8"/>
      <selection pane="bottomLeft" activeCell="D8" sqref="D8:W9"/>
    </sheetView>
  </sheetViews>
  <sheetFormatPr defaultColWidth="8.19921875" defaultRowHeight="13.8" x14ac:dyDescent="0.25"/>
  <cols>
    <col min="1" max="1" width="8.59765625" customWidth="1"/>
    <col min="2" max="2" width="40.59765625" customWidth="1"/>
    <col min="3" max="3" width="12.09765625" hidden="1" customWidth="1"/>
    <col min="4" max="25" width="12.09765625" customWidth="1"/>
    <col min="26" max="27" width="12.69921875" bestFit="1" customWidth="1"/>
    <col min="28" max="52" width="12.69921875" customWidth="1"/>
    <col min="53" max="53" width="14.09765625" customWidth="1"/>
    <col min="55" max="55" width="10.69921875" bestFit="1" customWidth="1"/>
  </cols>
  <sheetData>
    <row r="1" spans="1:55" s="100" customFormat="1" ht="10.5" customHeight="1" x14ac:dyDescent="0.25">
      <c r="A1" s="97"/>
      <c r="B1" s="97"/>
      <c r="C1" s="97"/>
      <c r="D1" s="98"/>
      <c r="E1" s="98"/>
      <c r="F1" s="98"/>
      <c r="G1" s="98"/>
      <c r="H1" s="99"/>
      <c r="I1" s="99"/>
      <c r="J1" s="99"/>
      <c r="K1" s="99"/>
    </row>
    <row r="2" spans="1:55" s="13" customFormat="1" ht="31.2" customHeight="1" x14ac:dyDescent="0.25">
      <c r="A2" s="101" t="s">
        <v>161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3"/>
    </row>
    <row r="3" spans="1:55" s="13" customFormat="1" ht="17.399999999999999" x14ac:dyDescent="0.25">
      <c r="A3" s="104" t="s">
        <v>162</v>
      </c>
      <c r="B3" s="105" t="s">
        <v>173</v>
      </c>
      <c r="C3" s="105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7"/>
    </row>
    <row r="4" spans="1:55" s="13" customFormat="1" ht="17.399999999999999" x14ac:dyDescent="0.25">
      <c r="A4" s="104" t="s">
        <v>163</v>
      </c>
      <c r="B4" s="105" t="s">
        <v>172</v>
      </c>
      <c r="C4" s="105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7"/>
    </row>
    <row r="5" spans="1:55" s="13" customFormat="1" ht="17.399999999999999" x14ac:dyDescent="0.25">
      <c r="A5" s="104" t="s">
        <v>164</v>
      </c>
      <c r="B5" s="109">
        <v>45968</v>
      </c>
      <c r="C5" s="109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10"/>
    </row>
    <row r="6" spans="1:55" s="13" customFormat="1" ht="17.399999999999999" x14ac:dyDescent="0.25">
      <c r="A6" s="104" t="s">
        <v>165</v>
      </c>
      <c r="B6" s="105" t="s">
        <v>174</v>
      </c>
      <c r="C6" s="105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10"/>
    </row>
    <row r="7" spans="1:55" s="13" customFormat="1" ht="6" customHeight="1" x14ac:dyDescent="0.25">
      <c r="A7" s="104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</row>
    <row r="8" spans="1:55" s="111" customFormat="1" ht="13.8" customHeight="1" x14ac:dyDescent="0.25">
      <c r="A8" s="396" t="s">
        <v>166</v>
      </c>
      <c r="B8" s="397"/>
      <c r="C8" s="394" t="s">
        <v>239</v>
      </c>
      <c r="D8" s="151" t="s">
        <v>178</v>
      </c>
      <c r="E8" s="151" t="s">
        <v>179</v>
      </c>
      <c r="F8" s="151" t="s">
        <v>180</v>
      </c>
      <c r="G8" s="151" t="s">
        <v>181</v>
      </c>
      <c r="H8" s="151" t="s">
        <v>182</v>
      </c>
      <c r="I8" s="151" t="s">
        <v>183</v>
      </c>
      <c r="J8" s="151" t="s">
        <v>184</v>
      </c>
      <c r="K8" s="151" t="s">
        <v>185</v>
      </c>
      <c r="L8" s="151" t="s">
        <v>186</v>
      </c>
      <c r="M8" s="151" t="s">
        <v>187</v>
      </c>
      <c r="N8" s="151" t="s">
        <v>188</v>
      </c>
      <c r="O8" s="151" t="s">
        <v>189</v>
      </c>
      <c r="P8" s="151" t="s">
        <v>190</v>
      </c>
      <c r="Q8" s="151" t="s">
        <v>191</v>
      </c>
      <c r="R8" s="151" t="s">
        <v>192</v>
      </c>
      <c r="S8" s="151" t="s">
        <v>193</v>
      </c>
      <c r="T8" s="151" t="s">
        <v>194</v>
      </c>
      <c r="U8" s="151" t="s">
        <v>195</v>
      </c>
      <c r="V8" s="151" t="s">
        <v>196</v>
      </c>
      <c r="W8" s="151" t="s">
        <v>197</v>
      </c>
      <c r="X8" s="151" t="s">
        <v>198</v>
      </c>
      <c r="Y8" s="151" t="s">
        <v>199</v>
      </c>
      <c r="Z8" s="151" t="s">
        <v>200</v>
      </c>
      <c r="AA8" s="151" t="s">
        <v>201</v>
      </c>
      <c r="AB8" s="151" t="s">
        <v>202</v>
      </c>
      <c r="AC8" s="151" t="s">
        <v>263</v>
      </c>
      <c r="AD8" s="226">
        <v>27</v>
      </c>
      <c r="AE8" s="226">
        <v>28</v>
      </c>
      <c r="AF8" s="226">
        <v>29</v>
      </c>
      <c r="AG8" s="226">
        <v>30</v>
      </c>
      <c r="AH8" s="226">
        <v>31</v>
      </c>
      <c r="AI8" s="226">
        <v>32</v>
      </c>
      <c r="AJ8" s="226">
        <v>33</v>
      </c>
      <c r="AK8" s="226">
        <v>34</v>
      </c>
      <c r="AL8" s="226">
        <v>35</v>
      </c>
      <c r="AM8" s="226">
        <v>36</v>
      </c>
      <c r="AN8" s="226">
        <v>37</v>
      </c>
      <c r="AO8" s="226">
        <v>38</v>
      </c>
      <c r="AP8" s="226">
        <v>39</v>
      </c>
      <c r="AQ8" s="226">
        <v>40</v>
      </c>
      <c r="AR8" s="226">
        <v>41</v>
      </c>
      <c r="AS8" s="226">
        <v>42</v>
      </c>
      <c r="AT8" s="226">
        <v>43</v>
      </c>
      <c r="AU8" s="226">
        <v>44</v>
      </c>
      <c r="AV8" s="226">
        <v>45</v>
      </c>
      <c r="AW8" s="226">
        <v>46</v>
      </c>
      <c r="AX8" s="226">
        <v>47</v>
      </c>
      <c r="AY8" s="226">
        <v>48</v>
      </c>
      <c r="AZ8" s="226">
        <v>49</v>
      </c>
      <c r="BA8" s="151" t="s">
        <v>264</v>
      </c>
    </row>
    <row r="9" spans="1:55" s="111" customFormat="1" ht="13.8" customHeight="1" x14ac:dyDescent="0.25">
      <c r="A9" s="398"/>
      <c r="B9" s="399"/>
      <c r="C9" s="395"/>
      <c r="D9" s="152">
        <v>2026</v>
      </c>
      <c r="E9" s="152">
        <v>2027</v>
      </c>
      <c r="F9" s="152">
        <v>2028</v>
      </c>
      <c r="G9" s="152">
        <v>2029</v>
      </c>
      <c r="H9" s="152">
        <v>2030</v>
      </c>
      <c r="I9" s="152">
        <v>2031</v>
      </c>
      <c r="J9" s="152">
        <v>2032</v>
      </c>
      <c r="K9" s="152">
        <v>2033</v>
      </c>
      <c r="L9" s="152">
        <v>2034</v>
      </c>
      <c r="M9" s="152">
        <v>2035</v>
      </c>
      <c r="N9" s="152">
        <v>2036</v>
      </c>
      <c r="O9" s="152">
        <v>2037</v>
      </c>
      <c r="P9" s="152">
        <v>2038</v>
      </c>
      <c r="Q9" s="152">
        <v>2039</v>
      </c>
      <c r="R9" s="152">
        <v>2040</v>
      </c>
      <c r="S9" s="152">
        <v>2041</v>
      </c>
      <c r="T9" s="152">
        <v>2042</v>
      </c>
      <c r="U9" s="152">
        <v>2043</v>
      </c>
      <c r="V9" s="152">
        <v>2044</v>
      </c>
      <c r="W9" s="152">
        <v>2045</v>
      </c>
      <c r="X9" s="152">
        <v>2046</v>
      </c>
      <c r="Y9" s="152">
        <v>2047</v>
      </c>
      <c r="Z9" s="152">
        <v>2048</v>
      </c>
      <c r="AA9" s="152">
        <v>2049</v>
      </c>
      <c r="AB9" s="152">
        <v>2050</v>
      </c>
      <c r="AC9" s="152">
        <v>2051</v>
      </c>
      <c r="AD9" s="152">
        <v>2052</v>
      </c>
      <c r="AE9" s="152">
        <v>2053</v>
      </c>
      <c r="AF9" s="152">
        <v>2054</v>
      </c>
      <c r="AG9" s="152">
        <v>2055</v>
      </c>
      <c r="AH9" s="152">
        <v>2056</v>
      </c>
      <c r="AI9" s="152">
        <v>2057</v>
      </c>
      <c r="AJ9" s="152">
        <v>2058</v>
      </c>
      <c r="AK9" s="152">
        <v>2059</v>
      </c>
      <c r="AL9" s="152">
        <v>2060</v>
      </c>
      <c r="AM9" s="152">
        <v>2061</v>
      </c>
      <c r="AN9" s="152">
        <v>2062</v>
      </c>
      <c r="AO9" s="152">
        <v>2063</v>
      </c>
      <c r="AP9" s="152">
        <v>2064</v>
      </c>
      <c r="AQ9" s="152">
        <v>2065</v>
      </c>
      <c r="AR9" s="152">
        <v>2066</v>
      </c>
      <c r="AS9" s="152">
        <v>2067</v>
      </c>
      <c r="AT9" s="152">
        <v>2068</v>
      </c>
      <c r="AU9" s="152">
        <v>2069</v>
      </c>
      <c r="AV9" s="152">
        <v>2070</v>
      </c>
      <c r="AW9" s="152">
        <v>2071</v>
      </c>
      <c r="AX9" s="152">
        <v>2072</v>
      </c>
      <c r="AY9" s="152">
        <v>2073</v>
      </c>
      <c r="AZ9" s="152">
        <v>2074</v>
      </c>
      <c r="BA9" s="152">
        <v>2076</v>
      </c>
    </row>
    <row r="10" spans="1:55" s="100" customFormat="1" ht="10.5" customHeight="1" x14ac:dyDescent="0.25">
      <c r="A10" s="112"/>
      <c r="B10" s="97"/>
      <c r="C10" s="97"/>
      <c r="D10" s="98"/>
      <c r="E10" s="98"/>
      <c r="F10" s="98"/>
      <c r="G10" s="98"/>
      <c r="H10" s="99"/>
      <c r="I10" s="99"/>
      <c r="J10" s="99"/>
      <c r="K10" s="99"/>
      <c r="BA10" s="113"/>
    </row>
    <row r="11" spans="1:55" s="47" customFormat="1" ht="21.75" customHeight="1" x14ac:dyDescent="0.25">
      <c r="A11" s="155"/>
      <c r="B11" s="203" t="s">
        <v>246</v>
      </c>
      <c r="C11" s="221"/>
      <c r="D11" s="158"/>
      <c r="E11" s="159"/>
      <c r="F11" s="159"/>
      <c r="G11" s="159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2"/>
      <c r="BB11" s="119"/>
      <c r="BC11" s="33"/>
    </row>
    <row r="12" spans="1:55" ht="21.75" customHeight="1" x14ac:dyDescent="0.25">
      <c r="A12" s="193" t="s">
        <v>43</v>
      </c>
      <c r="B12" s="154" t="s">
        <v>244</v>
      </c>
      <c r="C12" s="170"/>
      <c r="D12" s="114"/>
      <c r="E12" s="115"/>
      <c r="F12" s="115"/>
      <c r="G12" s="115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8"/>
      <c r="BB12" s="119">
        <f>SUM(D12:BA12)</f>
        <v>0</v>
      </c>
      <c r="BC12" s="11"/>
    </row>
    <row r="13" spans="1:55" ht="21.75" customHeight="1" x14ac:dyDescent="0.25">
      <c r="A13" s="120" t="s">
        <v>242</v>
      </c>
      <c r="B13" s="121" t="s">
        <v>240</v>
      </c>
      <c r="C13" s="224"/>
      <c r="D13" s="123">
        <v>2.5688309306526554E-2</v>
      </c>
      <c r="E13" s="124">
        <v>4.4999999999999998E-2</v>
      </c>
      <c r="F13" s="124">
        <v>0.06</v>
      </c>
      <c r="G13" s="124">
        <v>0.08</v>
      </c>
      <c r="H13" s="125">
        <v>0.08</v>
      </c>
      <c r="I13" s="125">
        <v>0.09</v>
      </c>
      <c r="J13" s="125">
        <v>0.1</v>
      </c>
      <c r="K13" s="125">
        <v>0.11</v>
      </c>
      <c r="L13" s="125">
        <v>0.1</v>
      </c>
      <c r="M13" s="125">
        <v>0.09</v>
      </c>
      <c r="N13" s="125">
        <v>7.0000000000000007E-2</v>
      </c>
      <c r="O13" s="125">
        <v>7.0000000000000007E-2</v>
      </c>
      <c r="P13" s="125">
        <v>0.05</v>
      </c>
      <c r="Q13" s="125">
        <v>0.02</v>
      </c>
      <c r="R13" s="125">
        <v>9.9419560274844245E-3</v>
      </c>
      <c r="S13" s="125"/>
      <c r="T13" s="125"/>
      <c r="U13" s="125"/>
      <c r="V13" s="125"/>
      <c r="W13" s="125"/>
      <c r="X13" s="125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6"/>
      <c r="AZ13" s="126"/>
      <c r="BA13" s="127"/>
      <c r="BB13" s="119">
        <f t="shared" ref="BB13:BB52" si="0">SUM(D13:BA13)</f>
        <v>1.0006302653340111</v>
      </c>
    </row>
    <row r="14" spans="1:55" ht="7.8" customHeight="1" x14ac:dyDescent="0.25">
      <c r="A14" s="120"/>
      <c r="B14" s="121"/>
      <c r="C14" s="171"/>
      <c r="D14" s="123"/>
      <c r="E14" s="124"/>
      <c r="F14" s="124"/>
      <c r="G14" s="124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7"/>
      <c r="BB14" s="119">
        <f t="shared" si="0"/>
        <v>0</v>
      </c>
    </row>
    <row r="15" spans="1:55" ht="21.75" customHeight="1" x14ac:dyDescent="0.25">
      <c r="A15" s="193" t="s">
        <v>53</v>
      </c>
      <c r="B15" s="154" t="s">
        <v>245</v>
      </c>
      <c r="C15" s="170"/>
      <c r="D15" s="114"/>
      <c r="E15" s="115"/>
      <c r="F15" s="115"/>
      <c r="G15" s="115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8"/>
      <c r="BB15" s="119">
        <f t="shared" si="0"/>
        <v>0</v>
      </c>
      <c r="BC15" s="11"/>
    </row>
    <row r="16" spans="1:55" ht="21.75" customHeight="1" x14ac:dyDescent="0.25">
      <c r="A16" s="120" t="s">
        <v>243</v>
      </c>
      <c r="B16" s="121" t="s">
        <v>241</v>
      </c>
      <c r="C16" s="171"/>
      <c r="D16" s="123">
        <v>0.2</v>
      </c>
      <c r="E16" s="124">
        <v>0.5</v>
      </c>
      <c r="F16" s="124">
        <v>0.3</v>
      </c>
      <c r="G16" s="124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7"/>
      <c r="BB16" s="119">
        <f t="shared" si="0"/>
        <v>1</v>
      </c>
    </row>
    <row r="17" spans="1:55" ht="21.75" customHeight="1" x14ac:dyDescent="0.25">
      <c r="A17" s="120" t="s">
        <v>247</v>
      </c>
      <c r="B17" s="121" t="s">
        <v>249</v>
      </c>
      <c r="C17" s="171"/>
      <c r="D17" s="123"/>
      <c r="E17" s="124">
        <v>0.4</v>
      </c>
      <c r="F17" s="124">
        <v>0.6</v>
      </c>
      <c r="G17" s="124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7"/>
      <c r="BB17" s="119">
        <f t="shared" si="0"/>
        <v>1</v>
      </c>
    </row>
    <row r="18" spans="1:55" ht="21.75" customHeight="1" x14ac:dyDescent="0.25">
      <c r="A18" s="120" t="s">
        <v>251</v>
      </c>
      <c r="B18" s="121" t="s">
        <v>17</v>
      </c>
      <c r="C18" s="171"/>
      <c r="D18" s="123"/>
      <c r="E18" s="124"/>
      <c r="F18" s="124">
        <v>0.2</v>
      </c>
      <c r="G18" s="124">
        <v>0.4</v>
      </c>
      <c r="H18" s="125"/>
      <c r="I18" s="125"/>
      <c r="J18" s="125"/>
      <c r="K18" s="125"/>
      <c r="L18" s="125">
        <v>0.2</v>
      </c>
      <c r="M18" s="125">
        <v>0.2</v>
      </c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7"/>
      <c r="BB18" s="119">
        <f t="shared" si="0"/>
        <v>1</v>
      </c>
    </row>
    <row r="19" spans="1:55" ht="21.75" customHeight="1" x14ac:dyDescent="0.25">
      <c r="A19" s="120" t="s">
        <v>252</v>
      </c>
      <c r="B19" s="121" t="s">
        <v>250</v>
      </c>
      <c r="C19" s="171"/>
      <c r="D19" s="123"/>
      <c r="E19" s="124"/>
      <c r="F19" s="124">
        <v>0.2</v>
      </c>
      <c r="G19" s="124">
        <v>0.3</v>
      </c>
      <c r="H19" s="125"/>
      <c r="I19" s="125"/>
      <c r="J19" s="125"/>
      <c r="K19" s="125"/>
      <c r="L19" s="125">
        <v>0.1</v>
      </c>
      <c r="M19" s="125">
        <v>0.4</v>
      </c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7"/>
      <c r="BB19" s="119">
        <f t="shared" si="0"/>
        <v>1</v>
      </c>
    </row>
    <row r="20" spans="1:55" ht="21.75" customHeight="1" x14ac:dyDescent="0.25">
      <c r="A20" s="120" t="s">
        <v>253</v>
      </c>
      <c r="B20" s="121" t="s">
        <v>262</v>
      </c>
      <c r="C20" s="171"/>
      <c r="D20" s="123"/>
      <c r="E20" s="124"/>
      <c r="F20" s="124">
        <v>0.02</v>
      </c>
      <c r="G20" s="125">
        <v>0.03</v>
      </c>
      <c r="H20" s="125">
        <v>0.04</v>
      </c>
      <c r="I20" s="125">
        <v>0.06</v>
      </c>
      <c r="J20" s="125">
        <v>7.0000000000000007E-2</v>
      </c>
      <c r="K20" s="125">
        <v>0.08</v>
      </c>
      <c r="L20" s="125">
        <v>0.1</v>
      </c>
      <c r="M20" s="125">
        <v>0.1</v>
      </c>
      <c r="N20" s="125">
        <v>0.11</v>
      </c>
      <c r="O20" s="125">
        <v>0.1</v>
      </c>
      <c r="P20" s="125">
        <v>0.1</v>
      </c>
      <c r="Q20" s="125">
        <v>0.08</v>
      </c>
      <c r="R20" s="125">
        <v>0.06</v>
      </c>
      <c r="S20" s="125">
        <v>0.04</v>
      </c>
      <c r="T20" s="125">
        <v>0.01</v>
      </c>
      <c r="U20" s="125"/>
      <c r="V20" s="125"/>
      <c r="W20" s="125"/>
      <c r="X20" s="125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7"/>
      <c r="BB20" s="119">
        <f t="shared" si="0"/>
        <v>1</v>
      </c>
    </row>
    <row r="21" spans="1:55" ht="7.8" customHeight="1" x14ac:dyDescent="0.25">
      <c r="A21" s="120"/>
      <c r="B21" s="121"/>
      <c r="C21" s="171"/>
      <c r="D21" s="123"/>
      <c r="E21" s="124"/>
      <c r="F21" s="124"/>
      <c r="G21" s="124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7"/>
      <c r="BB21" s="119">
        <f t="shared" si="0"/>
        <v>0</v>
      </c>
    </row>
    <row r="22" spans="1:55" ht="21.75" customHeight="1" x14ac:dyDescent="0.25">
      <c r="A22" s="193" t="s">
        <v>54</v>
      </c>
      <c r="B22" s="154" t="s">
        <v>254</v>
      </c>
      <c r="C22" s="170"/>
      <c r="D22" s="114"/>
      <c r="E22" s="115"/>
      <c r="F22" s="115"/>
      <c r="G22" s="115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8"/>
      <c r="BB22" s="119">
        <f t="shared" si="0"/>
        <v>0</v>
      </c>
      <c r="BC22" s="11"/>
    </row>
    <row r="23" spans="1:55" ht="21.75" customHeight="1" x14ac:dyDescent="0.25">
      <c r="A23" s="120" t="s">
        <v>276</v>
      </c>
      <c r="B23" s="121" t="s">
        <v>295</v>
      </c>
      <c r="C23" s="171"/>
      <c r="D23" s="123"/>
      <c r="E23" s="124"/>
      <c r="F23" s="124">
        <v>0.3</v>
      </c>
      <c r="G23" s="124">
        <v>0.4</v>
      </c>
      <c r="H23" s="125">
        <v>0.3</v>
      </c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7"/>
      <c r="BB23" s="119">
        <f t="shared" si="0"/>
        <v>1</v>
      </c>
    </row>
    <row r="24" spans="1:55" ht="7.8" customHeight="1" x14ac:dyDescent="0.25">
      <c r="A24" s="120"/>
      <c r="B24" s="121"/>
      <c r="C24" s="171"/>
      <c r="D24" s="123"/>
      <c r="E24" s="124"/>
      <c r="F24" s="124"/>
      <c r="G24" s="124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7"/>
      <c r="BB24" s="119">
        <f t="shared" si="0"/>
        <v>0</v>
      </c>
    </row>
    <row r="25" spans="1:55" ht="21.75" customHeight="1" x14ac:dyDescent="0.25">
      <c r="A25" s="193" t="s">
        <v>72</v>
      </c>
      <c r="B25" s="154" t="s">
        <v>270</v>
      </c>
      <c r="C25" s="170"/>
      <c r="D25" s="114"/>
      <c r="E25" s="115"/>
      <c r="F25" s="115"/>
      <c r="G25" s="115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8"/>
      <c r="BB25" s="119">
        <f t="shared" si="0"/>
        <v>0</v>
      </c>
      <c r="BC25" s="11"/>
    </row>
    <row r="26" spans="1:55" ht="21.75" customHeight="1" x14ac:dyDescent="0.25">
      <c r="A26" s="236" t="s">
        <v>277</v>
      </c>
      <c r="B26" s="228" t="s">
        <v>289</v>
      </c>
      <c r="C26" s="171"/>
      <c r="D26" s="123"/>
      <c r="E26" s="124"/>
      <c r="F26" s="124"/>
      <c r="G26" s="124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7"/>
      <c r="BB26" s="119">
        <f t="shared" si="0"/>
        <v>0</v>
      </c>
    </row>
    <row r="27" spans="1:55" ht="21.75" customHeight="1" x14ac:dyDescent="0.25">
      <c r="A27" s="120"/>
      <c r="B27" s="229" t="s">
        <v>255</v>
      </c>
      <c r="C27" s="171"/>
      <c r="D27" s="123"/>
      <c r="E27" s="124"/>
      <c r="F27" s="124">
        <v>0.4</v>
      </c>
      <c r="G27" s="124">
        <v>0.6</v>
      </c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7"/>
      <c r="BB27" s="119">
        <f t="shared" si="0"/>
        <v>1</v>
      </c>
    </row>
    <row r="28" spans="1:55" ht="21.75" customHeight="1" x14ac:dyDescent="0.25">
      <c r="A28" s="120"/>
      <c r="B28" s="229" t="s">
        <v>256</v>
      </c>
      <c r="C28" s="171"/>
      <c r="D28" s="123"/>
      <c r="E28" s="124"/>
      <c r="F28" s="124"/>
      <c r="G28" s="124">
        <v>0.4</v>
      </c>
      <c r="H28" s="125">
        <v>0.6</v>
      </c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7"/>
      <c r="BB28" s="119">
        <f t="shared" si="0"/>
        <v>1</v>
      </c>
    </row>
    <row r="29" spans="1:55" ht="21.75" customHeight="1" x14ac:dyDescent="0.25">
      <c r="A29" s="236" t="s">
        <v>278</v>
      </c>
      <c r="B29" s="228" t="s">
        <v>290</v>
      </c>
      <c r="C29" s="171"/>
      <c r="D29" s="123"/>
      <c r="E29" s="124"/>
      <c r="F29" s="124"/>
      <c r="G29" s="124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7"/>
      <c r="BB29" s="119">
        <f t="shared" si="0"/>
        <v>0</v>
      </c>
    </row>
    <row r="30" spans="1:55" ht="21.75" customHeight="1" x14ac:dyDescent="0.25">
      <c r="A30" s="120"/>
      <c r="B30" s="229" t="s">
        <v>255</v>
      </c>
      <c r="C30" s="171"/>
      <c r="D30" s="123"/>
      <c r="E30" s="124"/>
      <c r="F30" s="124"/>
      <c r="G30" s="124"/>
      <c r="H30" s="125"/>
      <c r="I30" s="125"/>
      <c r="J30" s="125"/>
      <c r="K30" s="125">
        <v>0.3</v>
      </c>
      <c r="L30" s="125">
        <v>0.7</v>
      </c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7"/>
      <c r="BB30" s="119">
        <f t="shared" si="0"/>
        <v>1</v>
      </c>
    </row>
    <row r="31" spans="1:55" ht="21.75" customHeight="1" x14ac:dyDescent="0.25">
      <c r="A31" s="120"/>
      <c r="B31" s="229" t="s">
        <v>256</v>
      </c>
      <c r="C31" s="171"/>
      <c r="D31" s="123"/>
      <c r="E31" s="124"/>
      <c r="F31" s="124"/>
      <c r="G31" s="124"/>
      <c r="H31" s="125"/>
      <c r="I31" s="125"/>
      <c r="J31" s="125"/>
      <c r="K31" s="125">
        <v>0.3</v>
      </c>
      <c r="L31" s="125">
        <v>0.7</v>
      </c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7"/>
      <c r="BB31" s="119">
        <f t="shared" si="0"/>
        <v>1</v>
      </c>
    </row>
    <row r="32" spans="1:55" ht="7.8" customHeight="1" x14ac:dyDescent="0.25">
      <c r="A32" s="120"/>
      <c r="B32" s="121"/>
      <c r="C32" s="171"/>
      <c r="D32" s="123"/>
      <c r="E32" s="124"/>
      <c r="F32" s="124"/>
      <c r="G32" s="124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7"/>
      <c r="BB32" s="119">
        <f t="shared" si="0"/>
        <v>0</v>
      </c>
    </row>
    <row r="33" spans="1:55" ht="21.75" customHeight="1" x14ac:dyDescent="0.25">
      <c r="A33" s="193" t="s">
        <v>105</v>
      </c>
      <c r="B33" s="154" t="s">
        <v>259</v>
      </c>
      <c r="C33" s="170"/>
      <c r="D33" s="114"/>
      <c r="E33" s="115"/>
      <c r="F33" s="115"/>
      <c r="G33" s="115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8"/>
      <c r="BB33" s="119">
        <f t="shared" si="0"/>
        <v>0</v>
      </c>
      <c r="BC33" s="11"/>
    </row>
    <row r="34" spans="1:55" ht="21.75" customHeight="1" x14ac:dyDescent="0.25">
      <c r="A34" s="120" t="s">
        <v>279</v>
      </c>
      <c r="B34" s="121" t="s">
        <v>291</v>
      </c>
      <c r="C34" s="171"/>
      <c r="D34" s="123"/>
      <c r="E34" s="124">
        <v>0.1</v>
      </c>
      <c r="F34" s="125">
        <v>0.125</v>
      </c>
      <c r="G34" s="125">
        <v>0.15</v>
      </c>
      <c r="H34" s="125">
        <v>0.1</v>
      </c>
      <c r="I34" s="124">
        <v>0.05</v>
      </c>
      <c r="J34" s="125">
        <v>0.05</v>
      </c>
      <c r="K34" s="125"/>
      <c r="L34" s="124"/>
      <c r="M34" s="124">
        <v>0.06</v>
      </c>
      <c r="N34" s="125">
        <v>0.14000000000000001</v>
      </c>
      <c r="O34" s="124"/>
      <c r="P34" s="125"/>
      <c r="Q34" s="124">
        <v>8.5000000000000006E-2</v>
      </c>
      <c r="R34" s="125">
        <v>0.14000000000000001</v>
      </c>
      <c r="S34" s="125"/>
      <c r="T34" s="125"/>
      <c r="U34" s="124"/>
      <c r="V34" s="125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7"/>
      <c r="BB34" s="119">
        <f t="shared" si="0"/>
        <v>1</v>
      </c>
    </row>
    <row r="35" spans="1:55" ht="7.8" customHeight="1" x14ac:dyDescent="0.25">
      <c r="A35" s="120"/>
      <c r="B35" s="121"/>
      <c r="C35" s="171"/>
      <c r="D35" s="123"/>
      <c r="E35" s="124"/>
      <c r="F35" s="124"/>
      <c r="G35" s="124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7"/>
      <c r="BB35" s="119">
        <f t="shared" si="0"/>
        <v>0</v>
      </c>
    </row>
    <row r="36" spans="1:55" ht="21.75" customHeight="1" x14ac:dyDescent="0.25">
      <c r="A36" s="193" t="s">
        <v>106</v>
      </c>
      <c r="B36" s="154" t="s">
        <v>261</v>
      </c>
      <c r="C36" s="170"/>
      <c r="D36" s="114"/>
      <c r="E36" s="115"/>
      <c r="F36" s="115"/>
      <c r="G36" s="115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117"/>
      <c r="AX36" s="117"/>
      <c r="AY36" s="117"/>
      <c r="AZ36" s="117"/>
      <c r="BA36" s="118"/>
      <c r="BB36" s="119">
        <f t="shared" si="0"/>
        <v>0</v>
      </c>
      <c r="BC36" s="11"/>
    </row>
    <row r="37" spans="1:55" ht="21.75" customHeight="1" x14ac:dyDescent="0.25">
      <c r="A37" s="120" t="s">
        <v>280</v>
      </c>
      <c r="B37" s="121" t="s">
        <v>292</v>
      </c>
      <c r="C37" s="171"/>
      <c r="D37" s="123"/>
      <c r="E37" s="124"/>
      <c r="F37" s="124"/>
      <c r="G37" s="124"/>
      <c r="H37" s="125">
        <v>0.05</v>
      </c>
      <c r="I37" s="125">
        <v>0.2</v>
      </c>
      <c r="J37" s="125">
        <v>0.15</v>
      </c>
      <c r="K37" s="124"/>
      <c r="L37" s="125"/>
      <c r="M37" s="125"/>
      <c r="N37" s="124"/>
      <c r="O37" s="125">
        <v>0.2</v>
      </c>
      <c r="P37" s="124">
        <v>0.15</v>
      </c>
      <c r="Q37" s="124"/>
      <c r="R37" s="125"/>
      <c r="S37" s="124">
        <v>0.15</v>
      </c>
      <c r="T37" s="125">
        <v>0.1</v>
      </c>
      <c r="U37" s="125"/>
      <c r="V37" s="125"/>
      <c r="W37" s="124"/>
      <c r="X37" s="125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7"/>
      <c r="BB37" s="119">
        <f t="shared" si="0"/>
        <v>1.0000000000000002</v>
      </c>
    </row>
    <row r="38" spans="1:55" ht="21.75" customHeight="1" x14ac:dyDescent="0.25">
      <c r="A38" s="120" t="s">
        <v>281</v>
      </c>
      <c r="B38" s="121" t="s">
        <v>262</v>
      </c>
      <c r="C38" s="171"/>
      <c r="D38" s="123"/>
      <c r="E38" s="124"/>
      <c r="F38" s="124"/>
      <c r="G38" s="124"/>
      <c r="H38" s="125"/>
      <c r="I38" s="125"/>
      <c r="J38" s="125">
        <v>0.01</v>
      </c>
      <c r="K38" s="124">
        <v>0.01</v>
      </c>
      <c r="L38" s="125">
        <v>0.01</v>
      </c>
      <c r="M38" s="125">
        <v>1.2999999999999999E-2</v>
      </c>
      <c r="N38" s="124">
        <v>0.02</v>
      </c>
      <c r="O38" s="125">
        <v>2.1999999999999999E-2</v>
      </c>
      <c r="P38" s="125">
        <v>2.5000000000000001E-2</v>
      </c>
      <c r="Q38" s="125">
        <v>0.03</v>
      </c>
      <c r="R38" s="125">
        <v>0.03</v>
      </c>
      <c r="S38" s="125">
        <v>0.03</v>
      </c>
      <c r="T38" s="125">
        <v>0.03</v>
      </c>
      <c r="U38" s="125">
        <v>0.03</v>
      </c>
      <c r="V38" s="125">
        <v>0.03</v>
      </c>
      <c r="W38" s="125">
        <v>0.03</v>
      </c>
      <c r="X38" s="125">
        <v>0.03</v>
      </c>
      <c r="Y38" s="125">
        <v>0.03</v>
      </c>
      <c r="Z38" s="126">
        <v>0.03</v>
      </c>
      <c r="AA38" s="126">
        <v>0.03</v>
      </c>
      <c r="AB38" s="126">
        <v>0.03</v>
      </c>
      <c r="AC38" s="126">
        <v>0.03</v>
      </c>
      <c r="AD38" s="126">
        <v>0.03</v>
      </c>
      <c r="AE38" s="126">
        <v>0.03</v>
      </c>
      <c r="AF38" s="126">
        <v>0.03</v>
      </c>
      <c r="AG38" s="126">
        <v>0.02</v>
      </c>
      <c r="AH38" s="126">
        <v>0.02</v>
      </c>
      <c r="AI38" s="126">
        <v>0.02</v>
      </c>
      <c r="AJ38" s="126">
        <v>0.02</v>
      </c>
      <c r="AK38" s="126">
        <v>0.02</v>
      </c>
      <c r="AL38" s="126">
        <v>0.02</v>
      </c>
      <c r="AM38" s="126">
        <v>0.02</v>
      </c>
      <c r="AN38" s="126">
        <v>0.02</v>
      </c>
      <c r="AO38" s="126">
        <v>0.02</v>
      </c>
      <c r="AP38" s="126">
        <v>0.02</v>
      </c>
      <c r="AQ38" s="126">
        <v>0.02</v>
      </c>
      <c r="AR38" s="126">
        <v>0.02</v>
      </c>
      <c r="AS38" s="126">
        <v>0.02</v>
      </c>
      <c r="AT38" s="126">
        <v>0.02</v>
      </c>
      <c r="AU38" s="126">
        <v>0.02</v>
      </c>
      <c r="AV38" s="126">
        <v>0.02</v>
      </c>
      <c r="AW38" s="126">
        <v>0.02</v>
      </c>
      <c r="AX38" s="126">
        <v>0.02</v>
      </c>
      <c r="AY38" s="126">
        <v>0.02</v>
      </c>
      <c r="AZ38" s="126">
        <v>0.02</v>
      </c>
      <c r="BA38" s="127">
        <v>0.01</v>
      </c>
      <c r="BB38" s="119">
        <f t="shared" si="0"/>
        <v>1.0000000000000007</v>
      </c>
    </row>
    <row r="39" spans="1:55" ht="7.8" customHeight="1" x14ac:dyDescent="0.25">
      <c r="A39" s="120"/>
      <c r="B39" s="121"/>
      <c r="C39" s="171"/>
      <c r="D39" s="123"/>
      <c r="E39" s="124"/>
      <c r="F39" s="124"/>
      <c r="G39" s="124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7"/>
      <c r="BB39" s="119">
        <f t="shared" si="0"/>
        <v>0</v>
      </c>
    </row>
    <row r="40" spans="1:55" ht="21.75" customHeight="1" x14ac:dyDescent="0.25">
      <c r="A40" s="193" t="s">
        <v>107</v>
      </c>
      <c r="B40" s="154" t="s">
        <v>265</v>
      </c>
      <c r="C40" s="170"/>
      <c r="D40" s="114"/>
      <c r="E40" s="115"/>
      <c r="F40" s="115"/>
      <c r="G40" s="115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  <c r="AW40" s="117"/>
      <c r="AX40" s="117"/>
      <c r="AY40" s="117"/>
      <c r="AZ40" s="117"/>
      <c r="BA40" s="118"/>
      <c r="BB40" s="119">
        <f t="shared" si="0"/>
        <v>0</v>
      </c>
      <c r="BC40" s="11"/>
    </row>
    <row r="41" spans="1:55" ht="21.75" customHeight="1" x14ac:dyDescent="0.25">
      <c r="A41" s="120">
        <v>71</v>
      </c>
      <c r="B41" s="121" t="s">
        <v>295</v>
      </c>
      <c r="C41" s="171"/>
      <c r="D41" s="123"/>
      <c r="E41" s="124"/>
      <c r="F41" s="124"/>
      <c r="G41" s="124"/>
      <c r="H41" s="125"/>
      <c r="I41" s="125"/>
      <c r="J41" s="125"/>
      <c r="K41" s="124">
        <v>0.4</v>
      </c>
      <c r="L41" s="125">
        <v>0.6</v>
      </c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7"/>
      <c r="BB41" s="119">
        <f t="shared" si="0"/>
        <v>1</v>
      </c>
    </row>
    <row r="42" spans="1:55" ht="7.8" customHeight="1" x14ac:dyDescent="0.25">
      <c r="A42" s="120"/>
      <c r="B42" s="121"/>
      <c r="C42" s="171"/>
      <c r="D42" s="123"/>
      <c r="E42" s="124"/>
      <c r="F42" s="124"/>
      <c r="G42" s="124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7"/>
      <c r="BB42" s="119">
        <f t="shared" si="0"/>
        <v>0</v>
      </c>
    </row>
    <row r="43" spans="1:55" ht="21.75" customHeight="1" x14ac:dyDescent="0.25">
      <c r="A43" s="193" t="s">
        <v>108</v>
      </c>
      <c r="B43" s="154" t="s">
        <v>271</v>
      </c>
      <c r="C43" s="170"/>
      <c r="D43" s="114"/>
      <c r="E43" s="115"/>
      <c r="F43" s="115"/>
      <c r="G43" s="115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8"/>
      <c r="BB43" s="119">
        <f t="shared" si="0"/>
        <v>0</v>
      </c>
      <c r="BC43" s="11"/>
    </row>
    <row r="44" spans="1:55" ht="21.75" customHeight="1" x14ac:dyDescent="0.25">
      <c r="A44" s="120" t="s">
        <v>282</v>
      </c>
      <c r="B44" s="121" t="s">
        <v>293</v>
      </c>
      <c r="C44" s="171"/>
      <c r="D44" s="123"/>
      <c r="E44" s="124"/>
      <c r="F44" s="124"/>
      <c r="G44" s="124"/>
      <c r="H44" s="125"/>
      <c r="I44" s="125"/>
      <c r="J44" s="125"/>
      <c r="K44" s="124"/>
      <c r="L44" s="125"/>
      <c r="M44" s="124">
        <v>0.2</v>
      </c>
      <c r="N44" s="125">
        <v>0.3</v>
      </c>
      <c r="O44" s="125"/>
      <c r="P44" s="125"/>
      <c r="Q44" s="124"/>
      <c r="R44" s="125"/>
      <c r="S44" s="125"/>
      <c r="T44" s="125"/>
      <c r="U44" s="124">
        <v>0.2</v>
      </c>
      <c r="V44" s="125">
        <v>0.3</v>
      </c>
      <c r="W44" s="125"/>
      <c r="X44" s="125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7"/>
      <c r="BB44" s="119">
        <f t="shared" si="0"/>
        <v>1</v>
      </c>
    </row>
    <row r="45" spans="1:55" ht="21.75" customHeight="1" x14ac:dyDescent="0.25">
      <c r="A45" s="120" t="s">
        <v>283</v>
      </c>
      <c r="B45" s="121" t="s">
        <v>262</v>
      </c>
      <c r="C45" s="171"/>
      <c r="D45" s="123"/>
      <c r="E45" s="124"/>
      <c r="F45" s="124"/>
      <c r="G45" s="124"/>
      <c r="H45" s="125"/>
      <c r="I45" s="125"/>
      <c r="J45" s="125"/>
      <c r="K45" s="124"/>
      <c r="L45" s="125"/>
      <c r="M45" s="124"/>
      <c r="N45" s="125"/>
      <c r="O45" s="125">
        <v>0.02</v>
      </c>
      <c r="P45" s="125">
        <v>0.03</v>
      </c>
      <c r="Q45" s="124">
        <v>0.03</v>
      </c>
      <c r="R45" s="125">
        <v>0.03</v>
      </c>
      <c r="S45" s="125">
        <v>0.03</v>
      </c>
      <c r="T45" s="125">
        <v>0.04</v>
      </c>
      <c r="U45" s="125">
        <v>0.04</v>
      </c>
      <c r="V45" s="125">
        <v>0.04</v>
      </c>
      <c r="W45" s="125">
        <v>0.04</v>
      </c>
      <c r="X45" s="125">
        <v>0.04</v>
      </c>
      <c r="Y45" s="126">
        <v>0.04</v>
      </c>
      <c r="Z45" s="126">
        <v>0.04</v>
      </c>
      <c r="AA45" s="126">
        <v>0.05</v>
      </c>
      <c r="AB45" s="126">
        <v>0.05</v>
      </c>
      <c r="AC45" s="126">
        <v>0.03</v>
      </c>
      <c r="AD45" s="126">
        <v>0.02</v>
      </c>
      <c r="AE45" s="126">
        <v>0.02</v>
      </c>
      <c r="AF45" s="126">
        <v>0.02</v>
      </c>
      <c r="AG45" s="126">
        <v>0.22</v>
      </c>
      <c r="AH45" s="126">
        <v>0.02</v>
      </c>
      <c r="AI45" s="126">
        <v>0.02</v>
      </c>
      <c r="AJ45" s="126">
        <v>0.02</v>
      </c>
      <c r="AK45" s="126">
        <v>0.02</v>
      </c>
      <c r="AL45" s="126">
        <v>0.02</v>
      </c>
      <c r="AM45" s="126">
        <v>0.01</v>
      </c>
      <c r="AN45" s="126">
        <v>0.01</v>
      </c>
      <c r="AO45" s="126">
        <v>0.01</v>
      </c>
      <c r="AP45" s="126">
        <v>0.01</v>
      </c>
      <c r="AQ45" s="126">
        <v>0.01</v>
      </c>
      <c r="AR45" s="126">
        <v>0.01</v>
      </c>
      <c r="AS45" s="126">
        <v>0.01</v>
      </c>
      <c r="AT45" s="126"/>
      <c r="AU45" s="126"/>
      <c r="AV45" s="126"/>
      <c r="AW45" s="126"/>
      <c r="AX45" s="126"/>
      <c r="AY45" s="126"/>
      <c r="AZ45" s="126"/>
      <c r="BA45" s="127"/>
      <c r="BB45" s="119">
        <f t="shared" si="0"/>
        <v>1</v>
      </c>
    </row>
    <row r="46" spans="1:55" ht="7.8" customHeight="1" x14ac:dyDescent="0.25">
      <c r="A46" s="120"/>
      <c r="B46" s="121"/>
      <c r="C46" s="171"/>
      <c r="D46" s="123"/>
      <c r="E46" s="124"/>
      <c r="F46" s="124"/>
      <c r="G46" s="124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7"/>
      <c r="BB46" s="119">
        <f t="shared" si="0"/>
        <v>0</v>
      </c>
    </row>
    <row r="47" spans="1:55" ht="21.75" customHeight="1" x14ac:dyDescent="0.25">
      <c r="A47" s="193" t="s">
        <v>109</v>
      </c>
      <c r="B47" s="154" t="s">
        <v>284</v>
      </c>
      <c r="C47" s="170"/>
      <c r="D47" s="114"/>
      <c r="E47" s="115"/>
      <c r="F47" s="115"/>
      <c r="G47" s="115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17"/>
      <c r="AS47" s="117"/>
      <c r="AT47" s="117"/>
      <c r="AU47" s="117"/>
      <c r="AV47" s="117"/>
      <c r="AW47" s="117"/>
      <c r="AX47" s="117"/>
      <c r="AY47" s="117"/>
      <c r="AZ47" s="117"/>
      <c r="BA47" s="118"/>
      <c r="BB47" s="119">
        <f t="shared" si="0"/>
        <v>0</v>
      </c>
      <c r="BC47" s="11"/>
    </row>
    <row r="48" spans="1:55" ht="21.75" customHeight="1" x14ac:dyDescent="0.25">
      <c r="A48" s="120" t="s">
        <v>286</v>
      </c>
      <c r="B48" s="121" t="s">
        <v>293</v>
      </c>
      <c r="C48" s="171"/>
      <c r="D48" s="123"/>
      <c r="E48" s="124"/>
      <c r="F48" s="124"/>
      <c r="G48" s="124"/>
      <c r="H48" s="125"/>
      <c r="I48" s="125"/>
      <c r="J48" s="125"/>
      <c r="K48" s="124"/>
      <c r="L48" s="125"/>
      <c r="M48" s="124"/>
      <c r="N48" s="125"/>
      <c r="O48" s="125"/>
      <c r="P48" s="125"/>
      <c r="Q48" s="124">
        <v>0.2</v>
      </c>
      <c r="R48" s="125">
        <v>0.3</v>
      </c>
      <c r="S48" s="125"/>
      <c r="T48" s="125"/>
      <c r="U48" s="125"/>
      <c r="V48" s="125"/>
      <c r="W48" s="124">
        <v>0.2</v>
      </c>
      <c r="X48" s="125">
        <v>0.3</v>
      </c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7"/>
      <c r="BB48" s="119">
        <f t="shared" si="0"/>
        <v>1</v>
      </c>
    </row>
    <row r="49" spans="1:55" ht="21.75" customHeight="1" x14ac:dyDescent="0.25">
      <c r="A49" s="120" t="s">
        <v>287</v>
      </c>
      <c r="B49" s="121" t="s">
        <v>262</v>
      </c>
      <c r="C49" s="171"/>
      <c r="D49" s="123"/>
      <c r="E49" s="124"/>
      <c r="F49" s="124"/>
      <c r="G49" s="124"/>
      <c r="H49" s="125"/>
      <c r="I49" s="125"/>
      <c r="J49" s="125"/>
      <c r="K49" s="124"/>
      <c r="L49" s="125"/>
      <c r="M49" s="124"/>
      <c r="N49" s="125"/>
      <c r="O49" s="125"/>
      <c r="P49" s="125"/>
      <c r="Q49" s="124"/>
      <c r="R49" s="125"/>
      <c r="S49" s="125">
        <v>0.02</v>
      </c>
      <c r="T49" s="125">
        <v>0.02</v>
      </c>
      <c r="U49" s="125">
        <v>0.03</v>
      </c>
      <c r="V49" s="125">
        <v>0.03</v>
      </c>
      <c r="W49" s="125">
        <v>0.03</v>
      </c>
      <c r="X49" s="125">
        <v>0.03</v>
      </c>
      <c r="Y49" s="126">
        <v>0.04</v>
      </c>
      <c r="Z49" s="126">
        <v>0.04</v>
      </c>
      <c r="AA49" s="126">
        <v>0.04</v>
      </c>
      <c r="AB49" s="126">
        <v>0.04</v>
      </c>
      <c r="AC49" s="126">
        <v>0.05</v>
      </c>
      <c r="AD49" s="126">
        <v>0.05</v>
      </c>
      <c r="AE49" s="126">
        <v>0.05</v>
      </c>
      <c r="AF49" s="126">
        <v>0.04</v>
      </c>
      <c r="AG49" s="126">
        <v>0.04</v>
      </c>
      <c r="AH49" s="126">
        <v>0.04</v>
      </c>
      <c r="AI49" s="126">
        <v>0.04</v>
      </c>
      <c r="AJ49" s="126">
        <v>0.04</v>
      </c>
      <c r="AK49" s="126">
        <v>0.04</v>
      </c>
      <c r="AL49" s="126">
        <v>0.03</v>
      </c>
      <c r="AM49" s="126">
        <v>0.03</v>
      </c>
      <c r="AN49" s="126">
        <v>2.5000000000000001E-2</v>
      </c>
      <c r="AO49" s="126">
        <v>2.5000000000000001E-2</v>
      </c>
      <c r="AP49" s="126">
        <v>2.5000000000000001E-2</v>
      </c>
      <c r="AQ49" s="126">
        <v>2.5000000000000001E-2</v>
      </c>
      <c r="AR49" s="126">
        <v>0.02</v>
      </c>
      <c r="AS49" s="126">
        <v>0.02</v>
      </c>
      <c r="AT49" s="126">
        <v>0.02</v>
      </c>
      <c r="AU49" s="126">
        <v>0.01</v>
      </c>
      <c r="AV49" s="126">
        <v>0.01</v>
      </c>
      <c r="AW49" s="126">
        <v>0.01</v>
      </c>
      <c r="AX49" s="126">
        <v>0.01</v>
      </c>
      <c r="AY49" s="126">
        <v>0.01</v>
      </c>
      <c r="AZ49" s="126">
        <v>0.01</v>
      </c>
      <c r="BA49" s="127">
        <v>0.01</v>
      </c>
      <c r="BB49" s="119">
        <f t="shared" si="0"/>
        <v>1.0000000000000004</v>
      </c>
    </row>
    <row r="50" spans="1:55" ht="7.8" customHeight="1" x14ac:dyDescent="0.25">
      <c r="A50" s="120"/>
      <c r="B50" s="121"/>
      <c r="C50" s="171"/>
      <c r="D50" s="123"/>
      <c r="E50" s="124"/>
      <c r="F50" s="124"/>
      <c r="G50" s="124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7"/>
      <c r="BB50" s="119">
        <f t="shared" si="0"/>
        <v>0</v>
      </c>
    </row>
    <row r="51" spans="1:55" ht="21.75" customHeight="1" x14ac:dyDescent="0.25">
      <c r="A51" s="193" t="s">
        <v>110</v>
      </c>
      <c r="B51" s="154" t="s">
        <v>285</v>
      </c>
      <c r="C51" s="170"/>
      <c r="D51" s="114"/>
      <c r="E51" s="115"/>
      <c r="F51" s="115"/>
      <c r="G51" s="115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  <c r="AW51" s="117"/>
      <c r="AX51" s="117"/>
      <c r="AY51" s="117"/>
      <c r="AZ51" s="117"/>
      <c r="BA51" s="118"/>
      <c r="BB51" s="119">
        <f t="shared" si="0"/>
        <v>0</v>
      </c>
      <c r="BC51" s="11"/>
    </row>
    <row r="52" spans="1:55" ht="21.75" customHeight="1" x14ac:dyDescent="0.25">
      <c r="A52" s="120" t="s">
        <v>288</v>
      </c>
      <c r="B52" s="121" t="s">
        <v>295</v>
      </c>
      <c r="C52" s="171"/>
      <c r="D52" s="123"/>
      <c r="E52" s="124"/>
      <c r="F52" s="124"/>
      <c r="G52" s="124"/>
      <c r="H52" s="125"/>
      <c r="I52" s="125"/>
      <c r="J52" s="125"/>
      <c r="K52" s="124"/>
      <c r="L52" s="125"/>
      <c r="M52" s="125"/>
      <c r="N52" s="125"/>
      <c r="O52" s="124"/>
      <c r="P52" s="125"/>
      <c r="Q52" s="124">
        <v>0.4</v>
      </c>
      <c r="R52" s="125">
        <v>0.6</v>
      </c>
      <c r="S52" s="125"/>
      <c r="T52" s="125"/>
      <c r="U52" s="125"/>
      <c r="V52" s="125"/>
      <c r="W52" s="125"/>
      <c r="X52" s="125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7"/>
      <c r="BB52" s="119">
        <f t="shared" si="0"/>
        <v>1</v>
      </c>
    </row>
    <row r="53" spans="1:55" s="13" customFormat="1" ht="7.8" customHeight="1" x14ac:dyDescent="0.25">
      <c r="A53" s="130"/>
      <c r="B53" s="131"/>
      <c r="C53" s="222"/>
      <c r="D53" s="133"/>
      <c r="E53" s="134"/>
      <c r="F53" s="134"/>
      <c r="G53" s="134"/>
      <c r="H53" s="135"/>
      <c r="I53" s="135"/>
      <c r="J53" s="135"/>
      <c r="K53" s="135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8"/>
      <c r="BB53" s="119">
        <f t="shared" ref="BB53:BB55" si="1">SUM(D53:BA53)</f>
        <v>0</v>
      </c>
    </row>
    <row r="54" spans="1:55" s="13" customFormat="1" ht="7.8" customHeight="1" x14ac:dyDescent="0.25">
      <c r="A54" s="139"/>
      <c r="B54" s="140"/>
      <c r="C54" s="140"/>
      <c r="D54" s="139"/>
      <c r="E54" s="139"/>
      <c r="F54" s="139"/>
      <c r="G54" s="139"/>
      <c r="H54" s="139"/>
      <c r="I54" s="139"/>
      <c r="J54" s="139"/>
      <c r="K54" s="139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19">
        <f t="shared" si="1"/>
        <v>0</v>
      </c>
    </row>
    <row r="55" spans="1:55" x14ac:dyDescent="0.25">
      <c r="BB55" s="119">
        <f t="shared" si="1"/>
        <v>0</v>
      </c>
    </row>
  </sheetData>
  <mergeCells count="2">
    <mergeCell ref="A8:B9"/>
    <mergeCell ref="C8:C9"/>
  </mergeCells>
  <phoneticPr fontId="2" type="noConversion"/>
  <conditionalFormatting sqref="D13:BA14 D16:BA21 D23:BA24 D34:BA35 D37:BA39 D41:BA42 D44:BA46 D48:BA50 D52:BA52 K53:BA53">
    <cfRule type="cellIs" dxfId="1" priority="40" stopIfTrue="1" operator="greaterThan">
      <formula>0</formula>
    </cfRule>
  </conditionalFormatting>
  <conditionalFormatting sqref="D26:BA32">
    <cfRule type="cellIs" dxfId="0" priority="1" stopIfTrue="1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B183-29F0-43AD-AE74-0ED89FD87F68}">
  <dimension ref="A3:G14"/>
  <sheetViews>
    <sheetView zoomScale="80" zoomScaleNormal="80" workbookViewId="0">
      <selection activeCell="B14" sqref="B14"/>
    </sheetView>
  </sheetViews>
  <sheetFormatPr defaultRowHeight="13.8" x14ac:dyDescent="0.25"/>
  <cols>
    <col min="1" max="1" width="27.796875" customWidth="1"/>
    <col min="2" max="3" width="23.59765625" style="1" customWidth="1"/>
    <col min="4" max="4" width="21.296875" style="1" customWidth="1"/>
    <col min="5" max="5" width="23.59765625" style="1" customWidth="1"/>
  </cols>
  <sheetData>
    <row r="3" spans="1:7" ht="20.399999999999999" customHeight="1" x14ac:dyDescent="0.25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</row>
    <row r="4" spans="1:7" ht="20.399999999999999" customHeight="1" x14ac:dyDescent="0.25">
      <c r="A4" s="6" t="s">
        <v>7</v>
      </c>
      <c r="B4" s="9">
        <v>15366.36</v>
      </c>
      <c r="C4" s="9">
        <v>26875.46</v>
      </c>
      <c r="D4" s="9">
        <v>4793.3100000000004</v>
      </c>
      <c r="E4" s="9">
        <v>126</v>
      </c>
      <c r="F4">
        <f>B4/D4</f>
        <v>3.2057930740970226</v>
      </c>
    </row>
    <row r="5" spans="1:7" ht="20.399999999999999" customHeight="1" x14ac:dyDescent="0.25">
      <c r="A5" s="3" t="s">
        <v>8</v>
      </c>
      <c r="B5" s="4">
        <v>16991.98</v>
      </c>
      <c r="C5" s="4">
        <v>26758.880000000001</v>
      </c>
      <c r="D5" s="4">
        <v>4439.5</v>
      </c>
      <c r="E5" s="4">
        <v>156</v>
      </c>
      <c r="F5">
        <f t="shared" ref="F5:F11" si="0">B5/D5</f>
        <v>3.8274535420655478</v>
      </c>
    </row>
    <row r="6" spans="1:7" ht="20.399999999999999" customHeight="1" x14ac:dyDescent="0.25">
      <c r="A6" s="3" t="s">
        <v>9</v>
      </c>
      <c r="B6" s="4">
        <v>13386.08</v>
      </c>
      <c r="C6" s="4">
        <v>22689.57</v>
      </c>
      <c r="D6" s="4">
        <v>4000</v>
      </c>
      <c r="E6" s="4"/>
      <c r="F6">
        <f t="shared" si="0"/>
        <v>3.3465199999999999</v>
      </c>
    </row>
    <row r="7" spans="1:7" ht="20.399999999999999" customHeight="1" x14ac:dyDescent="0.25">
      <c r="A7" s="3" t="s">
        <v>10</v>
      </c>
      <c r="B7" s="4">
        <v>11659.35</v>
      </c>
      <c r="C7" s="4">
        <v>19618.39</v>
      </c>
      <c r="D7" s="4">
        <v>3100</v>
      </c>
      <c r="E7" s="4"/>
      <c r="F7">
        <f t="shared" si="0"/>
        <v>3.7610806451612904</v>
      </c>
    </row>
    <row r="8" spans="1:7" ht="20.399999999999999" customHeight="1" x14ac:dyDescent="0.25">
      <c r="A8" s="3" t="s">
        <v>11</v>
      </c>
      <c r="B8" s="4">
        <v>15244.59</v>
      </c>
      <c r="C8" s="4">
        <v>26347.06</v>
      </c>
      <c r="D8" s="4">
        <v>4168.53</v>
      </c>
      <c r="E8" s="4">
        <v>182</v>
      </c>
      <c r="F8">
        <f t="shared" si="0"/>
        <v>3.6570661600132421</v>
      </c>
    </row>
    <row r="9" spans="1:7" ht="20.399999999999999" customHeight="1" x14ac:dyDescent="0.25">
      <c r="A9" s="3" t="s">
        <v>12</v>
      </c>
      <c r="B9" s="4">
        <v>9422.7999999999993</v>
      </c>
      <c r="C9" s="4">
        <v>15395.59</v>
      </c>
      <c r="D9" s="4">
        <v>2355.5</v>
      </c>
      <c r="E9" s="4"/>
      <c r="F9">
        <f t="shared" si="0"/>
        <v>4.0003396306516663</v>
      </c>
    </row>
    <row r="10" spans="1:7" ht="20.399999999999999" customHeight="1" x14ac:dyDescent="0.25">
      <c r="A10" s="3" t="s">
        <v>13</v>
      </c>
      <c r="B10" s="4">
        <v>11301</v>
      </c>
      <c r="C10" s="4">
        <v>18576.259999999998</v>
      </c>
      <c r="D10" s="4">
        <v>3767</v>
      </c>
      <c r="E10" s="4">
        <v>125</v>
      </c>
      <c r="F10">
        <f t="shared" si="0"/>
        <v>3</v>
      </c>
    </row>
    <row r="11" spans="1:7" ht="20.399999999999999" customHeight="1" x14ac:dyDescent="0.25">
      <c r="A11" s="3" t="s">
        <v>14</v>
      </c>
      <c r="B11" s="4">
        <v>12558.41</v>
      </c>
      <c r="C11" s="4">
        <v>24288.11</v>
      </c>
      <c r="D11" s="4">
        <v>3200.58</v>
      </c>
      <c r="E11" s="4">
        <v>111</v>
      </c>
      <c r="F11">
        <f t="shared" si="0"/>
        <v>3.92379193771129</v>
      </c>
    </row>
    <row r="12" spans="1:7" ht="20.399999999999999" customHeight="1" x14ac:dyDescent="0.25">
      <c r="A12" s="5"/>
      <c r="B12" s="10">
        <f>AVERAGE(B4:B5,B8,B10:B11)</f>
        <v>14292.467999999999</v>
      </c>
      <c r="C12" s="10">
        <f>AVERAGE(C4:C5,C8,C10:C11)</f>
        <v>24569.153999999999</v>
      </c>
      <c r="D12" s="10">
        <f>AVERAGE(D4:D11)</f>
        <v>3728.0524999999998</v>
      </c>
      <c r="E12" s="10">
        <f>AVERAGE(E4:E11)</f>
        <v>140</v>
      </c>
      <c r="F12" s="10">
        <f>AVERAGE(F4:F11)</f>
        <v>3.5902556237125069</v>
      </c>
      <c r="G12">
        <f>C12/E12</f>
        <v>175.49395714285714</v>
      </c>
    </row>
    <row r="14" spans="1:7" x14ac:dyDescent="0.25">
      <c r="B14" s="1">
        <f>B12/E12</f>
        <v>102.08905714285713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Empreendimentos</vt:lpstr>
      <vt:lpstr>Cromograma Fisico Financeiro</vt:lpstr>
      <vt:lpstr>GRAFICOS</vt:lpstr>
      <vt:lpstr>QUADRO DE ÁREAS e POPULAÇÃO</vt:lpstr>
      <vt:lpstr>POPULAÇÃO ATENDIDA</vt:lpstr>
      <vt:lpstr>Cronogramaa Fisico</vt:lpstr>
      <vt:lpstr>Referencias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Caetano da Silva</dc:creator>
  <cp:lastModifiedBy>Wesley Caetano da Silva</cp:lastModifiedBy>
  <dcterms:created xsi:type="dcterms:W3CDTF">2025-10-28T13:07:40Z</dcterms:created>
  <dcterms:modified xsi:type="dcterms:W3CDTF">2026-02-06T17:15:43Z</dcterms:modified>
</cp:coreProperties>
</file>